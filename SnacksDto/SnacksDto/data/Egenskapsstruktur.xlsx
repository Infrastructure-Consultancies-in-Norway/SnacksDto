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fkjn\Downloads\"/>
    </mc:Choice>
  </mc:AlternateContent>
  <xr:revisionPtr revIDLastSave="0" documentId="13_ncr:1_{D6DED87C-195E-440C-974D-A7DED36BFB0A}" xr6:coauthVersionLast="47" xr6:coauthVersionMax="47" xr10:uidLastSave="{00000000-0000-0000-0000-000000000000}"/>
  <bookViews>
    <workbookView xWindow="40845" yWindow="2835" windowWidth="28800" windowHeight="17145" tabRatio="786" xr2:uid="{3526052B-D865-4441-BCC9-1E1CF163690A}"/>
  </bookViews>
  <sheets>
    <sheet name="Forside" sheetId="27" r:id="rId1"/>
    <sheet name="Oversikt" sheetId="2" r:id="rId2"/>
    <sheet name="BIM_Modellinfo" sheetId="6" r:id="rId3"/>
    <sheet name="BIM_Tverrfaglig" sheetId="7" r:id="rId4"/>
    <sheet name="BIM_Beskrivelse" sheetId="20" r:id="rId5"/>
    <sheet name="BIM_FDV" sheetId="25" r:id="rId6"/>
    <sheet name="KON_Felles" sheetId="9" r:id="rId7"/>
    <sheet name="KON_Betong" sheetId="12" r:id="rId8"/>
    <sheet name="KON_Armering" sheetId="13" r:id="rId9"/>
    <sheet name="KON_Spennarmering" sheetId="14" r:id="rId10"/>
    <sheet name="KON_Lager" sheetId="17" r:id="rId11"/>
    <sheet name="KON_Peler" sheetId="11" r:id="rId12"/>
    <sheet name="KON_Fuger" sheetId="24" r:id="rId13"/>
    <sheet name="KON_Stål" sheetId="15" r:id="rId14"/>
    <sheet name="KON_Sveis" sheetId="21" r:id="rId15"/>
    <sheet name="KON_Festemidler" sheetId="22" r:id="rId16"/>
    <sheet name="KON_Tre" sheetId="16" r:id="rId17"/>
    <sheet name="KON_Løsmasser" sheetId="29" r:id="rId18"/>
    <sheet name="KON_Geometri" sheetId="18"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12" l="1"/>
  <c r="C41" i="2"/>
  <c r="C42" i="2"/>
  <c r="C43" i="2"/>
  <c r="C44" i="2"/>
  <c r="C45" i="2"/>
  <c r="C46" i="2"/>
  <c r="C47" i="2"/>
  <c r="C48" i="2"/>
  <c r="C49" i="2"/>
  <c r="C50" i="2"/>
  <c r="C51" i="2"/>
  <c r="C52" i="2"/>
  <c r="C53" i="2"/>
  <c r="C54" i="2"/>
  <c r="C55" i="2"/>
  <c r="C56" i="2"/>
  <c r="C57" i="2"/>
  <c r="C58" i="2"/>
  <c r="C59" i="2"/>
  <c r="C60" i="2"/>
  <c r="C61" i="2"/>
  <c r="C62" i="2"/>
  <c r="C63" i="2"/>
  <c r="C64" i="2"/>
  <c r="C65" i="2"/>
  <c r="C66" i="2"/>
  <c r="H6" i="12"/>
  <c r="K33" i="14" l="1"/>
</calcChain>
</file>

<file path=xl/sharedStrings.xml><?xml version="1.0" encoding="utf-8"?>
<sst xmlns="http://schemas.openxmlformats.org/spreadsheetml/2006/main" count="2658" uniqueCount="1111">
  <si>
    <t>Nettside:</t>
  </si>
  <si>
    <t>https://bimsnacks.no/</t>
  </si>
  <si>
    <t>Prinsipp</t>
  </si>
  <si>
    <t>SNACks er utviklet med utgangspunkt i bru-faget. Andre fag oppfordres til å følge samme prinsipp når egne egenskaper etableres.</t>
  </si>
  <si>
    <t>Nye egenskaper skal følge navnsettingsprinsipper under.</t>
  </si>
  <si>
    <t>Modellerer i hovedsak utelukkende fysisk byggbare objekter</t>
  </si>
  <si>
    <t>Egenskapssett som starter med BIM gjelder alle fag/disipliner</t>
  </si>
  <si>
    <t>Der hvor det er gitt tillatte verdier skal listen benyttes</t>
  </si>
  <si>
    <t>Dersom man fraviker fra tillatte verdier skal det fremgå tydelig i modellbeskrivelse</t>
  </si>
  <si>
    <t>Navngiving av egenskaper:</t>
  </si>
  <si>
    <t xml:space="preserve">Format egenskapsnavn : </t>
  </si>
  <si>
    <t>ARM.01 - Armeringstekst</t>
  </si>
  <si>
    <t>Prefix:</t>
  </si>
  <si>
    <t>Består av en bokstavkode med tre store bokstaver etterfulgt av punktum og to siffer. Dersom kun ett egenskapssett benyttes for faget bør prefiks være Fagkode</t>
  </si>
  <si>
    <t>Skilletegn:</t>
  </si>
  <si>
    <t>' - ' (mellomrom bindestrek mellomrom)</t>
  </si>
  <si>
    <t>Tekst:</t>
  </si>
  <si>
    <t>Kortfattet, være klar og selvforklarende, unngå forkortelser og gjennbruk av navn (eks Objektkode for V440 og Objektkode for V770 blir hhv "V770 Objektkode" og "V440 Objektkode"</t>
  </si>
  <si>
    <t>Egenskapsfarge:</t>
  </si>
  <si>
    <t>Egenskaper i svart er det felles enighet om at ofte er nødvendige og at disse skal være med der det er relevant.</t>
  </si>
  <si>
    <t>Egenskaper med grå tekst benyttes ved behov. For de grå egenskapene er det enighet om navngivningen, men det er opp til det enkelte prosjekt, konstruksjonstype og ulik firmapraksis om disse skal være med.</t>
  </si>
  <si>
    <t>Navngivning av egenskapssett:</t>
  </si>
  <si>
    <t>Forklaring på bruk av arkene</t>
  </si>
  <si>
    <t>Fag</t>
  </si>
  <si>
    <t>Pset</t>
  </si>
  <si>
    <t>Prefix</t>
  </si>
  <si>
    <t>Fagkode</t>
  </si>
  <si>
    <t>Arknavn</t>
  </si>
  <si>
    <t>Navn på egenskapssett (pset)</t>
  </si>
  <si>
    <t>Alle</t>
  </si>
  <si>
    <t>BIM_Modellinfo</t>
  </si>
  <si>
    <t>MOD</t>
  </si>
  <si>
    <t>Egenskapsnavn</t>
  </si>
  <si>
    <t xml:space="preserve">Navn på egenskap i egenskapssett. </t>
  </si>
  <si>
    <t>BIM_Tverrfaglig</t>
  </si>
  <si>
    <t>BIM</t>
  </si>
  <si>
    <t>Datatype</t>
  </si>
  <si>
    <t>Datatype som skal benyttes ved eksport av egenskap</t>
  </si>
  <si>
    <t>BIM_Beskrivelse</t>
  </si>
  <si>
    <t>BSK</t>
  </si>
  <si>
    <t>Nivå</t>
  </si>
  <si>
    <t>Plassering av egenskap i ifc hierarkiet. Settes enten på IfcBuilding/IfcBridge eller IfcElement nivå (laveste nivå)</t>
  </si>
  <si>
    <t>BIM_FDV</t>
  </si>
  <si>
    <t>FDV / KDV</t>
  </si>
  <si>
    <t>Eksempelverdi</t>
  </si>
  <si>
    <t>Eksempel for å illustrere hvordan egenskapen kan fylles ut</t>
  </si>
  <si>
    <t>Konstruksjon</t>
  </si>
  <si>
    <t>KON_Felles</t>
  </si>
  <si>
    <t>KON</t>
  </si>
  <si>
    <t>Anbefalte verdier</t>
  </si>
  <si>
    <t>Egenskapssverdier det er anbefalt å benytte, men hvor det kan være ulike forhold som gjør at det er behov for å tilpasse verdien</t>
  </si>
  <si>
    <t>KON_Armering</t>
  </si>
  <si>
    <t>ARM</t>
  </si>
  <si>
    <t>Tillatte verdier</t>
  </si>
  <si>
    <t xml:space="preserve">Der hvor cellen er fylt ut skal en av de tillatte verdiene benyttes. For datoer skal den formatteres etter ISO 8601: yyyy-mm-dd. For noen egenskaper kan det stå ** #, dette er da en henvisning til liste i samme ark som benyttes </t>
  </si>
  <si>
    <t>KON_Betong</t>
  </si>
  <si>
    <t>BET</t>
  </si>
  <si>
    <t>Tillatte verdier (Regex)</t>
  </si>
  <si>
    <t>Det er forsøkt etablert Regex kontrollstrenger som kan benyttes i regelsjekker. Disse benyttes på eget ansvar da de ikke er testet inngående.</t>
  </si>
  <si>
    <t>KON_Lager</t>
  </si>
  <si>
    <t>LGR</t>
  </si>
  <si>
    <t>Forklaring</t>
  </si>
  <si>
    <t>Tekstlig forklaring på hensikten med egenskapen</t>
  </si>
  <si>
    <t>KON_Spennarmering</t>
  </si>
  <si>
    <t>SPA</t>
  </si>
  <si>
    <t>Farge</t>
  </si>
  <si>
    <t>Filter for å skille mellom egenskaper som skal være med der det er relevant og egenskaper som kan benyttes ved behov</t>
  </si>
  <si>
    <t>KON_Fuger</t>
  </si>
  <si>
    <t>FUG</t>
  </si>
  <si>
    <t>KON_Peler</t>
  </si>
  <si>
    <t>PEL</t>
  </si>
  <si>
    <t>KON_Sveis</t>
  </si>
  <si>
    <t>SVS</t>
  </si>
  <si>
    <t>KON_Stål</t>
  </si>
  <si>
    <t>STL</t>
  </si>
  <si>
    <t>KON_Festemidler</t>
  </si>
  <si>
    <t>FMI</t>
  </si>
  <si>
    <t>KON_Tre</t>
  </si>
  <si>
    <t>TRE</t>
  </si>
  <si>
    <t>KON_Løsmasser</t>
  </si>
  <si>
    <t>LSM</t>
  </si>
  <si>
    <t>KON_Geometri</t>
  </si>
  <si>
    <t>GMT</t>
  </si>
  <si>
    <t>Akustikk</t>
  </si>
  <si>
    <t>AKU</t>
  </si>
  <si>
    <t>Arkitekt</t>
  </si>
  <si>
    <t>ARK</t>
  </si>
  <si>
    <t>Bane</t>
  </si>
  <si>
    <t>BAN</t>
  </si>
  <si>
    <t>Brann</t>
  </si>
  <si>
    <t>BRA</t>
  </si>
  <si>
    <t>Byggeteknikk</t>
  </si>
  <si>
    <t>RIB</t>
  </si>
  <si>
    <t>Elektro</t>
  </si>
  <si>
    <t>ELE</t>
  </si>
  <si>
    <t>Kontaktledning</t>
  </si>
  <si>
    <t>KLE</t>
  </si>
  <si>
    <t>Landskapsark.</t>
  </si>
  <si>
    <t>LAN</t>
  </si>
  <si>
    <t>Signal</t>
  </si>
  <si>
    <t>SIG</t>
  </si>
  <si>
    <t>Sikkerhet</t>
  </si>
  <si>
    <t>SIK</t>
  </si>
  <si>
    <t>Tele</t>
  </si>
  <si>
    <t>TLE</t>
  </si>
  <si>
    <t>Vann og avløp</t>
  </si>
  <si>
    <t>VAN</t>
  </si>
  <si>
    <t>VVS</t>
  </si>
  <si>
    <t>Arealplan</t>
  </si>
  <si>
    <t>PLA</t>
  </si>
  <si>
    <t>Geologi</t>
  </si>
  <si>
    <t>GEO</t>
  </si>
  <si>
    <t>Geoteknikk</t>
  </si>
  <si>
    <t>GTE</t>
  </si>
  <si>
    <t>Grunnerverv</t>
  </si>
  <si>
    <t>GRU</t>
  </si>
  <si>
    <t>Hydrogeologi</t>
  </si>
  <si>
    <t>HYG</t>
  </si>
  <si>
    <t>Hydrologi</t>
  </si>
  <si>
    <t>HYD</t>
  </si>
  <si>
    <t>Interiørark.</t>
  </si>
  <si>
    <t>INT</t>
  </si>
  <si>
    <t>Rigg</t>
  </si>
  <si>
    <t>RIG</t>
  </si>
  <si>
    <t>Sikring</t>
  </si>
  <si>
    <t>Skilt og oppmerking</t>
  </si>
  <si>
    <t>SKI</t>
  </si>
  <si>
    <t>Støy</t>
  </si>
  <si>
    <t>STO</t>
  </si>
  <si>
    <t>Tunnel</t>
  </si>
  <si>
    <t>TUN</t>
  </si>
  <si>
    <t>Veg</t>
  </si>
  <si>
    <t>VEG</t>
  </si>
  <si>
    <t>BIM_Modellinfo (gjelder alle fag)</t>
  </si>
  <si>
    <t xml:space="preserve"> </t>
  </si>
  <si>
    <t>MOD.01 - SNACks-versjon</t>
  </si>
  <si>
    <t>IfcText</t>
  </si>
  <si>
    <t>IfcBuilding/IfcBridge</t>
  </si>
  <si>
    <t>v1.0</t>
  </si>
  <si>
    <t>Versjonsnummer for gjeldende versjon brukt i modellen</t>
  </si>
  <si>
    <t>Svart</t>
  </si>
  <si>
    <t>MOD.02 - Prosjektnavn</t>
  </si>
  <si>
    <t>E16 Eggemoen - Olum</t>
  </si>
  <si>
    <t>*</t>
  </si>
  <si>
    <t>^.*$</t>
  </si>
  <si>
    <t>Oppdragsgivers prosjektnavn</t>
  </si>
  <si>
    <t>MOD.03 - Parsellnavn</t>
  </si>
  <si>
    <t>Eggemoen - Åsbygda</t>
  </si>
  <si>
    <t>Parsellnavn definert av oppdragsgiver/entreprenør</t>
  </si>
  <si>
    <t>Grå</t>
  </si>
  <si>
    <t>MOD.04 - Vegnummer</t>
  </si>
  <si>
    <t>10100</t>
  </si>
  <si>
    <t>Vegnummer konstruksjonen følger</t>
  </si>
  <si>
    <t>MOD.10 - Prosjektnummer</t>
  </si>
  <si>
    <t>23/123456</t>
  </si>
  <si>
    <t>Oppdragsgivers prosjektnummer</t>
  </si>
  <si>
    <t>MOD.11 - Prosjektfasenummer</t>
  </si>
  <si>
    <t>Prosjektfasenummer</t>
  </si>
  <si>
    <t>MOD.12 - Byggherre</t>
  </si>
  <si>
    <t>Statens Vegvesen</t>
  </si>
  <si>
    <t>Oppdragsgiver</t>
  </si>
  <si>
    <t>MOD.13 - Byggherrerepresentant</t>
  </si>
  <si>
    <t>Navn Navnesen</t>
  </si>
  <si>
    <t>Oppdragsgivers prosjekteier</t>
  </si>
  <si>
    <t>MOD.14 - Entreprenør</t>
  </si>
  <si>
    <t>Brubyggeren AS</t>
  </si>
  <si>
    <t>Navn på utførende entreprenør</t>
  </si>
  <si>
    <t>MOD.15 - Arkivreferanse</t>
  </si>
  <si>
    <t>Oppdragsgivers arkivreferanse</t>
  </si>
  <si>
    <t>MOD.16 - Koordinatsystem</t>
  </si>
  <si>
    <t>EUREF89 NTM 9</t>
  </si>
  <si>
    <t>^EUREF89 NTM ?(3[0]|[1-2][0-9]|[5-9])$</t>
  </si>
  <si>
    <t>Prosjektets koordinatsystem</t>
  </si>
  <si>
    <t>MOD.17 - Høydesystem</t>
  </si>
  <si>
    <t>NN2000</t>
  </si>
  <si>
    <t>Prosjektets høydedatum</t>
  </si>
  <si>
    <t>MOD.18 - Prosjektfase</t>
  </si>
  <si>
    <t>Forprosjekt</t>
  </si>
  <si>
    <t>** 1</t>
  </si>
  <si>
    <t>Konstruksjonens prosjektfase</t>
  </si>
  <si>
    <t>MOD.19 - Fag</t>
  </si>
  <si>
    <t>[Se Oversikt]</t>
  </si>
  <si>
    <t>^(AKU|ARK|BAN|BRA|RIB|KON|ELE|KLE|LAN|SIG|SIK|TLE|VAN|VVS|PLA|GEO|GTE|GRU|HYG|HYD|INT|RIG</t>
  </si>
  <si>
    <t>Fagkode for produsent av modell</t>
  </si>
  <si>
    <t>MOD.20 - Produsert av</t>
  </si>
  <si>
    <t>Bruprosjekterende AS</t>
  </si>
  <si>
    <t>Konsulentens navn</t>
  </si>
  <si>
    <t>MOD.21 - Konsulentarkiv</t>
  </si>
  <si>
    <t>Prosjektnummer rådgiver</t>
  </si>
  <si>
    <t>Konsulentens prosjektnummer</t>
  </si>
  <si>
    <t>MOD.30 - Modellrevisjon</t>
  </si>
  <si>
    <t>C01</t>
  </si>
  <si>
    <t>^([A-Z][0-9]{2}|[A-Z]|[0-9]{2})$</t>
  </si>
  <si>
    <t>Revisjonsindeks for siste revisjon av modellen</t>
  </si>
  <si>
    <t>MOD.31 - Modellrevisjonsdato</t>
  </si>
  <si>
    <t>2023-10-18</t>
  </si>
  <si>
    <t>yyyy-mm-dd</t>
  </si>
  <si>
    <t>^\d{4}-\d{2}-\d{2}$</t>
  </si>
  <si>
    <t>Dato for siste revisjon av modellen</t>
  </si>
  <si>
    <t>MOD.32 - Modellrevisjonen gjelder</t>
  </si>
  <si>
    <t>Til teknisk godkjenning</t>
  </si>
  <si>
    <t>Revisjonstekst/beskrivelse for siste revisjonen av modellen</t>
  </si>
  <si>
    <t>MOD.33 - Utarbeidet av</t>
  </si>
  <si>
    <t>sign</t>
  </si>
  <si>
    <t>Signatur / Initialer for modellansvarlig prosjekterende</t>
  </si>
  <si>
    <t>MOD.34 - Kontrollert av</t>
  </si>
  <si>
    <t>Signatur / Initialer for kontrollør prosjekterende</t>
  </si>
  <si>
    <t>MOD.35 - Godkjent av</t>
  </si>
  <si>
    <t>Signatur / Initialer for oppdragsansvarlig prosjekterende</t>
  </si>
  <si>
    <t>MOD.40 - BIM-manual prosjekt</t>
  </si>
  <si>
    <t>.\Dokumentnummer</t>
  </si>
  <si>
    <t>.\*</t>
  </si>
  <si>
    <t>^(?!\/|[a-zA-Z]+:\/\/)(\.{0,2}\/)?([\w\-\.]+\/)*[\w\-\.]+\.\w{1,5}$</t>
  </si>
  <si>
    <t>Dokumentnummer for prosjektets BIM manual/gjennomføringsplan (Overordnet). Skal fungere som relativ link dersom tegning og modell ligger i samme mappe</t>
  </si>
  <si>
    <t>MOD.41 - BIM-manual prosjekt link</t>
  </si>
  <si>
    <t>Link webhotell eller tilsvarende</t>
  </si>
  <si>
    <t>https:\\*</t>
  </si>
  <si>
    <t>^(https?:\/\/)?([\w\-]+\.)+[\w\-]+(\/[\w\-\.~:\/?#\[\]@!$&amp;'()*+,;=%]*)?$</t>
  </si>
  <si>
    <t>Klikkbar link til prosjektets BIM manual på prosjektets dokumenthotell, må vedlikeholdes dersom levetid skal ivaretas</t>
  </si>
  <si>
    <t>MOD.42 - Fagmodellbeskrivelse</t>
  </si>
  <si>
    <t>Dokumentnummer for konstruksjonens modellbeskrivelse. Skal fungere som relativ link dersom tegning og modell ligger i samme mappe</t>
  </si>
  <si>
    <t>MOD.43 - Fagmodellbeskrivelse link</t>
  </si>
  <si>
    <t>Klikkbar link til konstruksjonens modellbeskrivelse på prosjektets dokumenthotell, må vedlikeholdes dersom levetid skal ivaretas</t>
  </si>
  <si>
    <t>MOD.50 - Byggverksnummer</t>
  </si>
  <si>
    <t>12-3300</t>
  </si>
  <si>
    <t>##-####</t>
  </si>
  <si>
    <t>^\d{2}-\d{4}$</t>
  </si>
  <si>
    <t>Offisielt brunummer fra Brutus</t>
  </si>
  <si>
    <t>MOD.51 - Byggverksnavn</t>
  </si>
  <si>
    <t>Storelven bro</t>
  </si>
  <si>
    <t>Offisielt brunavn fra Brutus</t>
  </si>
  <si>
    <t>MOD.52 - Konstruksjonsnummer</t>
  </si>
  <si>
    <t>K100</t>
  </si>
  <si>
    <t>Konstruksjonsnummer definert i prosjektet</t>
  </si>
  <si>
    <t>MOD.53 - Konstruksjonsnavn</t>
  </si>
  <si>
    <t>Langfjorden bru</t>
  </si>
  <si>
    <t>Brunavn definert I prosjekteringsperioden, ofte sammenfallende med navn I Brutus</t>
  </si>
  <si>
    <t>MOD.54 - Konstruksjonstype</t>
  </si>
  <si>
    <t>Fugefri stålbjelkebru med slakkarmert betongdekke</t>
  </si>
  <si>
    <t>Tekstlig beskrivelse av type konstruksjon</t>
  </si>
  <si>
    <t>MOD.55 - Ferdigstillelse år</t>
  </si>
  <si>
    <t>yyyy</t>
  </si>
  <si>
    <t>^\d{4</t>
  </si>
  <si>
    <t>Antatt ferdigstillelse</t>
  </si>
  <si>
    <t>MOD.56 - Oversiktstegning</t>
  </si>
  <si>
    <t>.\K03-001.pdf</t>
  </si>
  <si>
    <t>Tegningsnummer for oversiktstegningen. Skal fungere som relativ link dersom tegning og modell ligger i samme mappe</t>
  </si>
  <si>
    <t>MOD.57 - Oversiktstegning link</t>
  </si>
  <si>
    <t>Klikkbar link til oversiktsteging på prosjektets dokumenthotell, må vedlikeholdes dersom levetid skal ivaretas</t>
  </si>
  <si>
    <t>MOD.58 - Oversiktstegning base64</t>
  </si>
  <si>
    <t>^(?:[A-Za-z0-9+/]{4})*(?:[A-Za-z0-9+/]{2}==|[A-Za-z0-9+/]{3}=)?$</t>
  </si>
  <si>
    <t>Base64-koding av oversiktstegning</t>
  </si>
  <si>
    <t>MOD.59 - Godkjente Fravik</t>
  </si>
  <si>
    <t>16/163775-29 Føringsbredde; 24/306627-2 Komp.trykk</t>
  </si>
  <si>
    <t>Arkivreferanse for avvikssøknad ihht til Statens Vegvesen, Bane NOR etc.</t>
  </si>
  <si>
    <t>MOD.70 - Modellmerknad 1</t>
  </si>
  <si>
    <t>Alle utvendige hjørner avfases med 20 mm trekantlist hvor ikke annet er anvist</t>
  </si>
  <si>
    <t>Kan legge inn merknader fra oversiktstegning som egenskaper her</t>
  </si>
  <si>
    <t>Skisseprosjekt</t>
  </si>
  <si>
    <t>Byggefase</t>
  </si>
  <si>
    <t>Rehabilitering</t>
  </si>
  <si>
    <t>Riving</t>
  </si>
  <si>
    <t>Midlertidig</t>
  </si>
  <si>
    <t>BIM_Tverrfaglig (gjelder alle fag)</t>
  </si>
  <si>
    <t>BIM.01 - Element ID</t>
  </si>
  <si>
    <t>IfcElement</t>
  </si>
  <si>
    <t>D6-03</t>
  </si>
  <si>
    <t xml:space="preserve">En ID som er unikt for element med samme informasjon. </t>
  </si>
  <si>
    <t>BIM.02 - PNS</t>
  </si>
  <si>
    <t>08.02.10.02</t>
  </si>
  <si>
    <t>Kode fra objektnedbrytningsstruktur. Har ofte mange forskjellige navn. OBS / PNS / WBS</t>
  </si>
  <si>
    <t>BIM.03 - PNS-navn</t>
  </si>
  <si>
    <t>Portal Gråberg Nord</t>
  </si>
  <si>
    <t>Navn fra objektnedbrytningsstruktur. Har ofte mange forskjellige navn. OBS / PNS / WBS</t>
  </si>
  <si>
    <t>BIM.04 - MMI</t>
  </si>
  <si>
    <t>350</t>
  </si>
  <si>
    <t>000, 100, 200, 300, 350, 375, 400, 500</t>
  </si>
  <si>
    <t>Verdier iht. MMI 2.0 veileder</t>
  </si>
  <si>
    <t>^\d{3}$</t>
  </si>
  <si>
    <t>Elementets MMI status, definisjonen bør følge RIFs MMI definisjon</t>
  </si>
  <si>
    <t>BIM.05 - Elementnavn</t>
  </si>
  <si>
    <t>Fundament</t>
  </si>
  <si>
    <t>Elementets navn</t>
  </si>
  <si>
    <t>BIM.06 - Fag</t>
  </si>
  <si>
    <t>[se Oversikt]</t>
  </si>
  <si>
    <t>Fagforkortelse, KON for bruer og samferdselskonstruksjoner, se ark 'Oversikt' for foreslått liste</t>
  </si>
  <si>
    <t>BIM.07 - Revisjon</t>
  </si>
  <si>
    <t>A</t>
  </si>
  <si>
    <t>Revisjonsbokstav/nummer for siste revisjon av objektet</t>
  </si>
  <si>
    <t>BIM.08 - Revisjonsdato</t>
  </si>
  <si>
    <t>2023-01-16</t>
  </si>
  <si>
    <t>Revisjonsdato, formattering skal følge ISO 8601. Dato for når revidert element ble utsendt</t>
  </si>
  <si>
    <t>BIM.09 - Revisjon gjelder</t>
  </si>
  <si>
    <t>Oppstikkende armering er forlenget med 200 mm</t>
  </si>
  <si>
    <t>Tekst som beskriver hva som er revidert</t>
  </si>
  <si>
    <t>BIM.20 - Fase bygges</t>
  </si>
  <si>
    <t>Fase 1</t>
  </si>
  <si>
    <t>Fase for bygging av aktuelt objekt, prosjektspesifikt</t>
  </si>
  <si>
    <t>BIM.21 - Fase rives</t>
  </si>
  <si>
    <t>Fase 3</t>
  </si>
  <si>
    <t>Fase for riving av aktuelt objekt, prosjektspesifikt</t>
  </si>
  <si>
    <t>BIM.22 - Entreprise</t>
  </si>
  <si>
    <t>E101</t>
  </si>
  <si>
    <t>Entreprise som skal bygge det aktuelle objektet. Kommer til anvendelse for kompliserte entrepriseinndelinger.</t>
  </si>
  <si>
    <t>BIM.30 - V770 Objektkode</t>
  </si>
  <si>
    <t>84412200 betong-b45-sv-standard</t>
  </si>
  <si>
    <t>Objektkode (8 siffer) +  objektkodenavn-fra-beskrivelse</t>
  </si>
  <si>
    <t>^\d{8} [a-z]+(-[a-z]+)*$</t>
  </si>
  <si>
    <t>Kan med fordel utgå om ikke det foreligger særlig krav eller ønsker i prosjektet</t>
  </si>
  <si>
    <t>BSK.01 - Sted</t>
  </si>
  <si>
    <t>Dagsone Kvitsøy</t>
  </si>
  <si>
    <t>Stedsplassering i henhold til beskrivelse</t>
  </si>
  <si>
    <t>BSK.02 - Element</t>
  </si>
  <si>
    <t>K51 Vegbru Skjermen</t>
  </si>
  <si>
    <t>Elementplassering i henhold til beskrivelse</t>
  </si>
  <si>
    <t>BSK.03 - Prosesskode</t>
  </si>
  <si>
    <t>84.4122</t>
  </si>
  <si>
    <t>Prosesskode for aktuelt objekt iht SVV håndbok R761/R762</t>
  </si>
  <si>
    <t>BSK.04 - Prosessnavn</t>
  </si>
  <si>
    <t>Betong B45 SV-Standard</t>
  </si>
  <si>
    <t>Navn for aktuell prosesskode for aktuelt objekt iht SVV håndbok R761/R762</t>
  </si>
  <si>
    <t>BSK.05 - Link Prosesskode</t>
  </si>
  <si>
    <t>Direkte link til R762</t>
  </si>
  <si>
    <t>BSK.11 - Kapittel</t>
  </si>
  <si>
    <t>BSK.12 - Bygningsdel</t>
  </si>
  <si>
    <t>BSK.13 - NS3420 Kode</t>
  </si>
  <si>
    <t>BSK.14 - NS3420 Navn</t>
  </si>
  <si>
    <t xml:space="preserve">BSK.15 - Vinkel </t>
  </si>
  <si>
    <t>BSK.16 - Dimensjon</t>
  </si>
  <si>
    <t>BSK.17 - Lokalisering</t>
  </si>
  <si>
    <t>BSK.20 - Mengde</t>
  </si>
  <si>
    <t>IfcReal</t>
  </si>
  <si>
    <t>Iht. Mengderegler for aktuell prosess</t>
  </si>
  <si>
    <t>BSK.21 - Enhet</t>
  </si>
  <si>
    <t>m3</t>
  </si>
  <si>
    <t>Mengde for aktuell prosesskode for aktuelt objekt iht SVV håndbok R761/R762</t>
  </si>
  <si>
    <t>BSK.22 - Omregningsfaktor</t>
  </si>
  <si>
    <t>Omregningsfaktor for mengde der det er behov, f.eks. Ifbm uttak av masser</t>
  </si>
  <si>
    <t>BSK.30 - Spesiell beskrivelse</t>
  </si>
  <si>
    <t>Betong SV-Standard skal være i samsvar med
bestandighetsklasse MF45.</t>
  </si>
  <si>
    <t>Merknader som medfører en kostnadsmessig konsekvens for utførelsen som normalt ville vært inkludert som en spesiell beskrivelse</t>
  </si>
  <si>
    <t>BSK.31 - Postnotat</t>
  </si>
  <si>
    <t>BSK.40 - Utslippsfaktor CO2-ekvivalenter</t>
  </si>
  <si>
    <t>Utslipp CO2 for en mengdeenhet av prosesskoden</t>
  </si>
  <si>
    <t>BSK.41 - CO2-enhet</t>
  </si>
  <si>
    <t>tonn CO2e/m3</t>
  </si>
  <si>
    <t>tonn CO2e/m,tonn CO2e/-,tonn CO2e/m3,tonn CO2e/m2,tonn CO2e/kg,tonn CO2e/stk,tonn CO2e/RS,tonn CO2e/tonn,tonn CO2e/mMN,tonn CO2e/dm3</t>
  </si>
  <si>
    <t>^tonn CO2e/(m|m3|m2|kg|stk|RS|tonn|mMN|dm3|-)$</t>
  </si>
  <si>
    <t>Enhet for bruk av CO2 ekvivalent</t>
  </si>
  <si>
    <t>BSK.42 - Utslipp CO2</t>
  </si>
  <si>
    <t>Totalt CO2 utslipp for elementet i tonn = "BSK.40 - Utslippsfaktor CO2-ekvivalent" * "BSK.20 - Mengde"</t>
  </si>
  <si>
    <t>BSK.50 - Enhetspris</t>
  </si>
  <si>
    <t>Enhetspris for gjeldende beskrivelseskode</t>
  </si>
  <si>
    <t>BSK.51 - Kostnadsenhet</t>
  </si>
  <si>
    <t>kr / m3</t>
  </si>
  <si>
    <t>Kostnadsenhet iht. enheten på gjeldende prosess.</t>
  </si>
  <si>
    <t>BSK.52 - Kostnad</t>
  </si>
  <si>
    <t>Total kostnad for elementet.</t>
  </si>
  <si>
    <t>FDV.01 - FDV-merknad 1</t>
  </si>
  <si>
    <t>Åpent merknadsfelt for ytterligere kommentarer som ikke er dekket andre steder</t>
  </si>
  <si>
    <t>FDV.02 - FDV-merknad 2</t>
  </si>
  <si>
    <t>FDV.03 - FDV-merknad 3</t>
  </si>
  <si>
    <t>FDV.04 - FDV-merknad 4</t>
  </si>
  <si>
    <t>FDV.20 - NVDB Vegobjekttype</t>
  </si>
  <si>
    <t>Skiltpunkt_95</t>
  </si>
  <si>
    <t>Iht. NVs datakatalog</t>
  </si>
  <si>
    <t>FDV.21 - NVDB ObjektID</t>
  </si>
  <si>
    <t>1014455063</t>
  </si>
  <si>
    <t>Iht. NVDB</t>
  </si>
  <si>
    <t>FDV.30 - ObjektID</t>
  </si>
  <si>
    <t>KU-BRS-002394</t>
  </si>
  <si>
    <t>KU-BRS, KU-BRU, KU-LKA, KU-MBL, KU-REN, KU-STM, KU-STS, EH-JOR + Løpenummer</t>
  </si>
  <si>
    <t xml:space="preserve">Format: Fagkode-Objekttype-Løpenummer </t>
  </si>
  <si>
    <t>Banedata: ObjektID iht. system fra BaneNor. Skal samsvare med excelark utarbeidet i prosjektet. Fullstendig oversikt over tillatte verdier finnes her: https://oppslagsverk.banenor.no/datakatalogen/objekter/underbygning/oversikt/</t>
  </si>
  <si>
    <t>FDV.40 - RDS</t>
  </si>
  <si>
    <t>&lt;E6SØ&gt;-D1.B1.K1.HH1.UCA3.UCA.14</t>
  </si>
  <si>
    <t xml:space="preserve">Reference Designation System (RDS): Tag iht. prosjektets krav - etableres i henhold til ISO/IEC 81346 standard. </t>
  </si>
  <si>
    <t>FDV.50 - TFM</t>
  </si>
  <si>
    <t>=216.001-AH001T</t>
  </si>
  <si>
    <t>Tverrfaglig merkesystem (TFM): Merking iht. prosjektets krav. Skal være iht. NS 3457</t>
  </si>
  <si>
    <t>KDV.01 - V440 Kode</t>
  </si>
  <si>
    <t>G2</t>
  </si>
  <si>
    <t>Objektkode i V440 listen</t>
  </si>
  <si>
    <t>KDV.02 - V440 Navn</t>
  </si>
  <si>
    <t>Vegg</t>
  </si>
  <si>
    <t>Objektnavn i V440 listen</t>
  </si>
  <si>
    <t>KDV.03 - Brutus objektkode</t>
  </si>
  <si>
    <t>C1</t>
  </si>
  <si>
    <t>Iht Brutus objektkodeliste https://www.vegvesen.no/globalassets/fag/teknologi/bruer/objektkode-og-navn-brutus.xlsx?v=4990b2</t>
  </si>
  <si>
    <t>Objektkode for det aktuelle objektet i henhold til Brutus objektkodeliste</t>
  </si>
  <si>
    <t>KDV.04 - Brutus objektnavn</t>
  </si>
  <si>
    <t>Landkar</t>
  </si>
  <si>
    <t>Objektnavn for det aktuelle objektet i henhold til Brutus objektkodeliste</t>
  </si>
  <si>
    <t>KDV.05 - Godkjenningsbrev</t>
  </si>
  <si>
    <t>Godkjent ifølge notat xxxx fra Vegdirektoratet</t>
  </si>
  <si>
    <t>Referanse til godkjenningsbrev for det aktuelle objektet. Alle relevante godkjenningsnummer fra offentlige etater (Statens vegvesen, Bane NOR, Kystverket osv.) listes opp. Vil kun være fyllt ut til MMI400</t>
  </si>
  <si>
    <t>KDV.06 - Godkjenningsdato</t>
  </si>
  <si>
    <t>2025-03-14</t>
  </si>
  <si>
    <t>På format YYYY-MM-DD</t>
  </si>
  <si>
    <t>Dato på ISO-format</t>
  </si>
  <si>
    <t>KON.01 - Konstruksjonsnummer</t>
  </si>
  <si>
    <t>^K\d{3,4}$</t>
  </si>
  <si>
    <t>Konstruksjonsnummer (K-nummer) slik prosjektet har definert det. Svært sentral referanse gjennom prosjektering og bygging, etter overlevering til byggherre overtar Byggverksnummer som viktigste referanse. Duplikat av egenskap "MOD.52 - Konstruksjonsnummer" i BIM_Modellinfo.</t>
  </si>
  <si>
    <t>KON.02 - Konstruksjonsnavn</t>
  </si>
  <si>
    <t>Hov bru</t>
  </si>
  <si>
    <t>Konstruksjonsnavn slik prosjektet har definert det. Satt av plassen til egenskapen, men ser ikke for oss at den blir brukt ofte. Duplikat av egenskap "MOD.53 - Konstruksjonsnavn" i BIM_Modellinfo.</t>
  </si>
  <si>
    <t>KON.03 - Akse</t>
  </si>
  <si>
    <t>01</t>
  </si>
  <si>
    <t>Løpenummer: 01, 02, 03, …</t>
  </si>
  <si>
    <t>Aktuell bruakse for objektet. For overbygning defineres et naturlig system for den aktuelle konstruksjonen.</t>
  </si>
  <si>
    <t>KON.10 - Konstruksjonsinndeling</t>
  </si>
  <si>
    <t>Underbygning / Tårn</t>
  </si>
  <si>
    <t>Grunnarbeider, Kulvert, Underbygning, Overbygning, Overbygning (stål), Overbygning (betong), Etterarbeid, m.fl.</t>
  </si>
  <si>
    <t>Grupperingsegenskap for objekttype. Dette er det høyeste nivået og er mornivå til Konstruksjonsdel. Verdiene gir en grov arbeidsplanlegging for utførende.</t>
  </si>
  <si>
    <t>KON.11 - Konstruksjonsdel</t>
  </si>
  <si>
    <t>Fundament / Rigel</t>
  </si>
  <si>
    <t>Bunnplate, Kantbjelke, Fylling, Rekkverk, Kulvertvegg, Fuktbeskyttelse</t>
  </si>
  <si>
    <t>Grupperingsegenskap for objekttype. Dette er et mellom-nivået og er datternivå av Konstruksjonsinndeling og mornivå til Elementgruppering. Verdiene kan sammenlignes med tittelfeltet på en tegning, og reflekterer normalt et naturlig steg for utførende under bygging.</t>
  </si>
  <si>
    <t>KON.12 - Elementgruppering</t>
  </si>
  <si>
    <t>Spennarmering</t>
  </si>
  <si>
    <t>Armering, peler, spennarmering, boltegruppe</t>
  </si>
  <si>
    <t>Grupperingsegenskap for objekttype. En samling av elementnavn som naturlig hører sammen, f.eks. produkter som bestilles som ett produkt, men som er modellert med flere objekter for å synliggjøre krav til delkomponenter i produktet.</t>
  </si>
  <si>
    <t>KON.13 - Elementnavn</t>
  </si>
  <si>
    <t>Fundament / Bjelke</t>
  </si>
  <si>
    <t>Forslag i egen liste</t>
  </si>
  <si>
    <t>Grupperingsegenskap for objekttype, og objektets navn. Dette er det laveste nivået av grupperingsegenskaper. En svært sentral egenskap for navigasjon og filtrering i konstruksjonsmodeller. Klassifserer objektet ut fra objektets funksjon.</t>
  </si>
  <si>
    <t>KON.20 - Produksjonsenhet</t>
  </si>
  <si>
    <t>PLD-1002</t>
  </si>
  <si>
    <t>Grupperingsegenskap for utførelsesrekkefølge. Dette er det høyeste nivået for utførelsesrekkfefølge og vil normalt reflektere arbeidsoperasjoner på byggeplass, f.eks. byggingen av et plasstøpt fundament. Alle objekter som skal bygges i en produksjonsenhet (f.eks. i en støpeetappe) skal markeres med lik verdi. Mornivå til Sammenstillingsnr, der dette er nødvendig.</t>
  </si>
  <si>
    <t>KON.21 - Sammenstillingsnr</t>
  </si>
  <si>
    <t>SB-1023</t>
  </si>
  <si>
    <t>Grupperingsegenskap for utførelsesrekkefølge. Dette er et mellom-nivå for utførelsesrekkfefølge og vil normalt reflektere samling av komponenter på fabrikk, f.eks. sammenstilling av et fagverk. Mornivå til Komponentnr. Kommer til anvendelse ved prefabrikkasjon</t>
  </si>
  <si>
    <t>KON.22 - Komponentnr</t>
  </si>
  <si>
    <t>DSB-1002</t>
  </si>
  <si>
    <t xml:space="preserve">Grupperingsegenskap for utførelsesrekkefølge. Dette er laveste nivå for utførelsesrekkfefølge og vil normalt reflektere enkeltkomponenter ("single part") til sammenstilling på fabrikk, f.eks. et hulprofil til en diagonal i et fagverk. Datternivå av Sammenstillingsnr. </t>
  </si>
  <si>
    <t>KON.30 - Plasseringsprioritet</t>
  </si>
  <si>
    <t>2 - Viker for 1</t>
  </si>
  <si>
    <t>1 - Aldri flyttes, 2 - Viker for 1, 3 - Lavest prioritet</t>
  </si>
  <si>
    <t>^(1 - Aldri flyttes|2 - Viker for 1|3 - Lavest prioritet)$</t>
  </si>
  <si>
    <t>Plasseringsprioritet som kan benyttes der finjustering modellering for å unngå kollisjoner blir unødig tidkrevende. Typiske verdier er 1 for spennarmering, boltegrupper og sluk, 2 for slakkarmering og 3 for jordings- og nivelleringsbolter.</t>
  </si>
  <si>
    <t>KON.31 - Plasseringsmerknad</t>
  </si>
  <si>
    <t>Maks to jern kan kappes dersom konflikt med sluk</t>
  </si>
  <si>
    <t>Merknad for å presisere løsning og utfylle "Plasseringsprioritet"</t>
  </si>
  <si>
    <t>KON.40 - Materialtype</t>
  </si>
  <si>
    <t>Betong</t>
  </si>
  <si>
    <t>Gruppering av materialtyper.</t>
  </si>
  <si>
    <t>KON.41 - Materialspesifikasjon</t>
  </si>
  <si>
    <t>B35 SV-Standard</t>
  </si>
  <si>
    <t>Presis materialspesifikasjon for materiale.</t>
  </si>
  <si>
    <t>KON.42 - Overflatebehandling</t>
  </si>
  <si>
    <t>Antigrafittibehandling</t>
  </si>
  <si>
    <t>Krav til overflatebehandling av objektet, relevant for alle materialtyper.</t>
  </si>
  <si>
    <t>KON.43 - Profilnavn</t>
  </si>
  <si>
    <t>HEB200</t>
  </si>
  <si>
    <t>Objektets profil</t>
  </si>
  <si>
    <t>KON.44 - Monteringsrekkefølge</t>
  </si>
  <si>
    <t>Rekkefølge for å angi montering på byggeplass</t>
  </si>
  <si>
    <t>KON.50 - Videreprosjektering</t>
  </si>
  <si>
    <t>Opphengssystemer for all påmontert forskaling prosjekteres av entreprenør</t>
  </si>
  <si>
    <t>Merknad for krav til leverandørprosjektering</t>
  </si>
  <si>
    <t>KON.51 - Produksjonsmerknad 1</t>
  </si>
  <si>
    <t>Det tillates ikke porer med utbredelse &gt;= 15 mm og/eller dybde &gt;= 10 mm.</t>
  </si>
  <si>
    <t>Merknad for krav til produksjon, typisk til fabrikasjon og verksted</t>
  </si>
  <si>
    <t>KON.52 - Produksjonsmerknad 2</t>
  </si>
  <si>
    <t>OK bjelke tildekkes av plastfolie umiddelbart etter støping, øvrige flater tildekkes etter avforming.</t>
  </si>
  <si>
    <t>Merknad 2 for krav til produksjon, typisk til fabrikasjon og verksted</t>
  </si>
  <si>
    <t>KON.53 - Utførelsesmerknad 1</t>
  </si>
  <si>
    <t>KTB-bjelker skal fastholdes mot vindlast I byggefase iht HB V426, pkt. 4.5.2</t>
  </si>
  <si>
    <t>Merknad for krav til utførelse på byggeplass.</t>
  </si>
  <si>
    <t>KON.54 - Utførelsesmerknad 2</t>
  </si>
  <si>
    <t>Det forutsettes bruk av løftetau ved montasje</t>
  </si>
  <si>
    <t>Merknad 2 for krav til utførelse på byggeplass.</t>
  </si>
  <si>
    <t>KON.55 - Øvrige merknader</t>
  </si>
  <si>
    <t>Øvrige merknader som ikke dekkes av innhold i andre egenskaper</t>
  </si>
  <si>
    <t>KON.60 - Produktbeskrivelse</t>
  </si>
  <si>
    <t>Eksemplverdi?</t>
  </si>
  <si>
    <t>Produktbeskrivelse av objekt, endres og oppdateres gjennom prosjekteringen. Vil typisk starte med en produktnøytral beskrivelse, og oppdateres til valgt produktnavn når det er klart. Særlig relevant for lager, spennarmering, rekkverk osv.</t>
  </si>
  <si>
    <t>KON.61 - Leverandør</t>
  </si>
  <si>
    <t>Spennteknikk</t>
  </si>
  <si>
    <t>Leverandør på produkt/objekt. For eksempel leverandør av fuge, lager eller spennarmering</t>
  </si>
  <si>
    <t>KON.62 - Produsent</t>
  </si>
  <si>
    <t>Dywidag</t>
  </si>
  <si>
    <t>Produsent av produkt/objekt.</t>
  </si>
  <si>
    <t>KON.70 - Supplerende dokument</t>
  </si>
  <si>
    <t>./K100_03.pdf</t>
  </si>
  <si>
    <t>Presis dokumentreferanse for ev. supplerede tegning til objektet, dvs. Tegningsnavn</t>
  </si>
  <si>
    <t>KON.71 - Supplerende dokument link</t>
  </si>
  <si>
    <t>https://dokumenthotell.com/K100_03.pdf</t>
  </si>
  <si>
    <t>Klikkbar link til supplerende tegningen på prosjektets dokumenthotell. Link må vedlikeholdes dersom levetid skal ivaretas, men vil uansett gi stor verdi gjennom prosjekterings- og byggefase.</t>
  </si>
  <si>
    <t>KON.72 - Supplerende dokument base64</t>
  </si>
  <si>
    <t>Base64-koding av supplerende tegning. Koden kan dekodes og gjenopprette komplett pdf gjennom godt etablerte og støttede rutiner. Muliggjør lagring av tegninger direkte i modell.</t>
  </si>
  <si>
    <t>BET.01 - Utførelsesklasse</t>
  </si>
  <si>
    <t>1,2 el.3</t>
  </si>
  <si>
    <t>Betongens utførelsesklasse iht. NS-EN 13670:2009+NA:2010. Om annen klassifisering legges til grunn gis dette spesifikt som en referanse.</t>
  </si>
  <si>
    <t>BET.02 - Nøyaktighetsklasse</t>
  </si>
  <si>
    <t>B</t>
  </si>
  <si>
    <t>A el. B</t>
  </si>
  <si>
    <t>Betongens nøyaktighetsklasse iht. R761 Tabell 84-2. Om annen klassifisering legges til grunn gis dette spesifikt som en referanse.</t>
  </si>
  <si>
    <t>BET.03 - Bestandighetsklasse</t>
  </si>
  <si>
    <t>MF40</t>
  </si>
  <si>
    <t>iht. NS-EN 206</t>
  </si>
  <si>
    <t>Betongens bestandighetsklasse iht. NS-EN 206:2013+A2:2021+NA:2022 Tabell NA.15. Om annen klassifisering legges til grunn gis dette spesifikt som en referanse.</t>
  </si>
  <si>
    <t>BET.04 - Materialspesifikasjon (dup)</t>
  </si>
  <si>
    <t>B45 SV-Standard</t>
  </si>
  <si>
    <t>BET.05 - Kloridklasse</t>
  </si>
  <si>
    <t>Cl 0.2</t>
  </si>
  <si>
    <t>Betongens kloridklasse iht. NS-EN 206:2013+A2:2021+NA:2022 Tabell 15. Om annen klassifisering legges til grunn gis dette spesifikt som en referanse. Normalt ikke aktuelt med annet enn 0,10, med mindre det er utenfor prosesskode-krav</t>
  </si>
  <si>
    <t>BET.06 - Lavkarbonklasse</t>
  </si>
  <si>
    <t>iht. NB 37</t>
  </si>
  <si>
    <t>Betongens lavkarbon klassifisering in henhold til Norsk Betongforenings publikasjon 37</t>
  </si>
  <si>
    <t>BET.10 - Produksjonsmetode</t>
  </si>
  <si>
    <t>Plasstøpt</t>
  </si>
  <si>
    <t>Plasstøpt, Prefab</t>
  </si>
  <si>
    <t xml:space="preserve">Produksjonsmetode for betongelementet. </t>
  </si>
  <si>
    <t>BET.11 - Forskaling</t>
  </si>
  <si>
    <t>Stående bord</t>
  </si>
  <si>
    <t>Vertikal bordforskaling, Langsgående bordforskaling, Lemmer, Valgfri, Fritekst</t>
  </si>
  <si>
    <t>Tekstlig forklaring av hvilke type forskaling som skal benyttes. Velges fra tillatte verdier eller angitt som fritekst dersom nødvendig</t>
  </si>
  <si>
    <t>BET.12 - Krav til armeringsstol</t>
  </si>
  <si>
    <t>Det skal benyttes armeringsstoler av betong</t>
  </si>
  <si>
    <t>Beskrivelse til entreprenør om valg av armeringsstol</t>
  </si>
  <si>
    <t>BET.21 - Overdekning hovedarmering</t>
  </si>
  <si>
    <t>UK, NS og FS: 75mm ±15mm, OK: 65mm ±15mm</t>
  </si>
  <si>
    <t>Del av høring 2025. Vanskelig å få noe fra entreprenører. Må ha luft i settet</t>
  </si>
  <si>
    <t>BET.30 - Diameter monteringsstenger</t>
  </si>
  <si>
    <t>12 mm</t>
  </si>
  <si>
    <t>12 mm, 16 mm</t>
  </si>
  <si>
    <t xml:space="preserve">Diameter på monteringsjern. </t>
  </si>
  <si>
    <t>BET.31 - Overdekning monteringsstenger</t>
  </si>
  <si>
    <t>UK, NS og FS: 60mm ±5mm, OK: 50mm ±5mm</t>
  </si>
  <si>
    <t>Be om tilbakemelding fra utførende - bør toleranse skilles ut? Andre strukturer? Hvordan bør "sidene" omtales?</t>
  </si>
  <si>
    <t>65ø20c150.00.K95F-1002</t>
  </si>
  <si>
    <t>Sammenslått streng av sentrale egenskaper for armeringsjern. Formatet tilpasses til hvert firma og kunde.</t>
  </si>
  <si>
    <t>ARM.02 - Produksjonsmerknad (dup)</t>
  </si>
  <si>
    <t>Dordiameter på krok er 100mm og avviker fra standard dor</t>
  </si>
  <si>
    <t>Ekstraordinær merknad til bøyebenkoperatør. Altså info som ikke gis godt nok ellers i egenskapssettet</t>
  </si>
  <si>
    <t>ARM.03 - Utførelsesmerknad 1 (dup)</t>
  </si>
  <si>
    <t>Legges 220mm over forskalingen</t>
  </si>
  <si>
    <t>Merknad til utførende jernbinder. Gjerne info som bidrar til økt forståelse eller enklere legging av armeringen.</t>
  </si>
  <si>
    <t>ARM.04 - Utførelsesmerknad 2 (dup)</t>
  </si>
  <si>
    <t>Starter 8,3m fra endetverrbjelke akse 3</t>
  </si>
  <si>
    <t>ARM.05 - Prefix</t>
  </si>
  <si>
    <t>F</t>
  </si>
  <si>
    <t>Defineres per konstruksjon</t>
  </si>
  <si>
    <t>Prefiks for tildeling av armeringsjernets serienummer. Første del av posisjonsnummeret.</t>
  </si>
  <si>
    <t>ARM.06 - Serienummer</t>
  </si>
  <si>
    <t>1002</t>
  </si>
  <si>
    <t>Armeringsjernets serienummer. Andre del av posisjonsnummeret.</t>
  </si>
  <si>
    <t>ARM.07 - Posisjonsnummer</t>
  </si>
  <si>
    <t>F-1002</t>
  </si>
  <si>
    <t>Prefix + serienummer</t>
  </si>
  <si>
    <t>Sammenslått streng av prefiks og serienummer</t>
  </si>
  <si>
    <t>ARM.08 - Stangdiameter</t>
  </si>
  <si>
    <t>IfcLengthMeasure</t>
  </si>
  <si>
    <t>20 mm</t>
  </si>
  <si>
    <t>Armeringsjernets nominelle diameter</t>
  </si>
  <si>
    <t>ARM.09 - Nettype</t>
  </si>
  <si>
    <t>K335</t>
  </si>
  <si>
    <t>Benyttes dersom armeringen er et nett</t>
  </si>
  <si>
    <t>ARM.10 - Senteravstand</t>
  </si>
  <si>
    <t>150 mm</t>
  </si>
  <si>
    <t>Typisk senteravstand for gruppen armeringsjernet tilhører</t>
  </si>
  <si>
    <t>ARM.11 - Senteravstand modellert</t>
  </si>
  <si>
    <t>1*110 + 46*150</t>
  </si>
  <si>
    <t>Senteravstanden slik jerna faktisk er modellert (vil noen ganger avvike litt fra ARM.10 - senteravstand)</t>
  </si>
  <si>
    <t>ARM.12 - Senteravstand skjærgrupper</t>
  </si>
  <si>
    <t xml:space="preserve">"300 x 150" eller "300 mm i tverretning" </t>
  </si>
  <si>
    <t>Senteravstand i tverretning for gruppen armeringsjernet tilhører, brukes kun for skjærarmering og kan isteden løses med en utførelsesmerknad.</t>
  </si>
  <si>
    <t>ARM.13 - Plassering</t>
  </si>
  <si>
    <t>Vertikal OK Lag 1</t>
  </si>
  <si>
    <t>Beskrivelse av jernets plassering. Kan være en sammenslåing av ARM.14,15 og 16.</t>
  </si>
  <si>
    <t>ARM.14 - Funksjon</t>
  </si>
  <si>
    <t>Vertikal</t>
  </si>
  <si>
    <t>Lengde, Tverr, Horisontal, Vertikal, Skjær, Skjøt, I bøy</t>
  </si>
  <si>
    <t>Beskrivelse av jernets funksjon.</t>
  </si>
  <si>
    <t>ARM.15 - Referanse</t>
  </si>
  <si>
    <t>OK</t>
  </si>
  <si>
    <t>OK, UK, IK, YK, NS, FS, I sidekant ++ (kan og stå OK Lag 1 eller T1)</t>
  </si>
  <si>
    <t>Beskrivelse av referanseflate på betong for jernets plassering (Referanse og Lag kan og slåes sammen her)</t>
  </si>
  <si>
    <t>ARM.16 - Lag</t>
  </si>
  <si>
    <t>Lag 1</t>
  </si>
  <si>
    <t>Beskrivelse av lagplassering gitt referanseflate (Kan droppes dersom de slåes sammen i ARM.14 - Referanse)</t>
  </si>
  <si>
    <t>ARM.17 - Omfar</t>
  </si>
  <si>
    <t>1000 mm</t>
  </si>
  <si>
    <t>Nødvendig omfarlengde for valgte jern. Minste omfarlengde av jern som skjøtes er gjeldende.</t>
  </si>
  <si>
    <t>ARM.18 - Er varierende?</t>
  </si>
  <si>
    <t>IfcBoolean</t>
  </si>
  <si>
    <t>Nei</t>
  </si>
  <si>
    <t>Ja/Nei</t>
  </si>
  <si>
    <t>Kan brukes til å skille ut armeringsgrupper som er varierende</t>
  </si>
  <si>
    <t>ARM.19 - Antall i gruppe</t>
  </si>
  <si>
    <t>IfcInteger</t>
  </si>
  <si>
    <t>47</t>
  </si>
  <si>
    <t>Antall armeringsjern i valgt gruppe</t>
  </si>
  <si>
    <t>ARM.20 - Type</t>
  </si>
  <si>
    <t>Stk</t>
  </si>
  <si>
    <t>Stk/Skjærbøyle/Bøyle/LM/Nett</t>
  </si>
  <si>
    <t>Sier noe om hva slags armering dette er</t>
  </si>
  <si>
    <t>ARM.21 - Startnummer</t>
  </si>
  <si>
    <t>1000</t>
  </si>
  <si>
    <t>Startnummer for nummerering av armeringsgrupper knyttet til samme prefix</t>
  </si>
  <si>
    <t>ARM.30 - Formkode</t>
  </si>
  <si>
    <t>00</t>
  </si>
  <si>
    <t>Iht NS3766 (standardkoder) eller vedlegg 2 (prosjektets definerte 99-koder)</t>
  </si>
  <si>
    <t>Armeringsjernets formkode</t>
  </si>
  <si>
    <t>ARM.31 - BVBS</t>
  </si>
  <si>
    <t>BF2D@Hj1@r@i@p0D-1017@l3500@n1@e5.52@d16@gB500NC@s50@a0@t0@Gl3500@w0@C92@</t>
  </si>
  <si>
    <t>BVBS-streng iht BVBS-manual</t>
  </si>
  <si>
    <t>BVBS-beskrivelse av jernet som om jernet er et single-jern, dvs. n-leddet i Header-block er satt til 1. Kan og være gruppe-jern. Må koordinere valg med utførende.</t>
  </si>
  <si>
    <t>ARM.32 - Endekode 1</t>
  </si>
  <si>
    <t>3</t>
  </si>
  <si>
    <t>Endekoder fra -3 til 11, pluss 19 som er egendefinert</t>
  </si>
  <si>
    <t>Kode for endekrok eller mekanisk endeforankring på starten av jernet</t>
  </si>
  <si>
    <t>ARM.33 - Endetype 1</t>
  </si>
  <si>
    <t>180</t>
  </si>
  <si>
    <t>Norsk betongforening publikasjon 8</t>
  </si>
  <si>
    <t>Betegnelse av endekrok eller mekanisk endeforankring  på starten av jernet</t>
  </si>
  <si>
    <t>ARM.34 - Endekode 2</t>
  </si>
  <si>
    <t>8</t>
  </si>
  <si>
    <t>Kode for endekrok eller mekanisk endeforankring på slutten av jernet</t>
  </si>
  <si>
    <t>ARM.35 - Endetype 2</t>
  </si>
  <si>
    <t>Innv.gj.skrukobling</t>
  </si>
  <si>
    <t>Betegnelse av endekrok eller mekanisk endeforankring på slutten av jernet</t>
  </si>
  <si>
    <t>ARM.36 - Materialspesifikasjon (dup)</t>
  </si>
  <si>
    <t>B500NC</t>
  </si>
  <si>
    <t>Typ. B500NC og B500NCR</t>
  </si>
  <si>
    <t>Duplikat av Materialspesifikasjon fra KON_Felles</t>
  </si>
  <si>
    <t>ARM.39 - Dordiameter</t>
  </si>
  <si>
    <t>50 mm</t>
  </si>
  <si>
    <t>Dordiameter gjelder generelt på jernet. Hvis avvik i en bøy, skal formkoden håndtere dette med R, eventuelt så må unntaket forklares i "ARM.01 - Produksjonsmerknad"</t>
  </si>
  <si>
    <t>ARM.40 - A</t>
  </si>
  <si>
    <t>800 mm</t>
  </si>
  <si>
    <t>Lengdemål for formkode</t>
  </si>
  <si>
    <t>ARM.41 - B</t>
  </si>
  <si>
    <t>300 mm</t>
  </si>
  <si>
    <t>ARM.42 - C</t>
  </si>
  <si>
    <t>ARM.43 - D</t>
  </si>
  <si>
    <t>ARM.44 - E</t>
  </si>
  <si>
    <t>40 mm</t>
  </si>
  <si>
    <t>ARM.45 - F</t>
  </si>
  <si>
    <t>ARM.46 - G</t>
  </si>
  <si>
    <t>ARM.47 - H</t>
  </si>
  <si>
    <t>ARM.48 - H1</t>
  </si>
  <si>
    <t>ARM.49 - H2</t>
  </si>
  <si>
    <t>ARM.50 - I</t>
  </si>
  <si>
    <t>ARM.51 - J</t>
  </si>
  <si>
    <t>ARM.52 - K</t>
  </si>
  <si>
    <t>ARM.53 - R</t>
  </si>
  <si>
    <t>Spesiell bøyeradie for formkode. Brukes kun i angitt bøy. Øvrige bøyer skal benytte dordiameter.</t>
  </si>
  <si>
    <t>ARM.54 - Va</t>
  </si>
  <si>
    <t>IfcPlaneAngleMeasure</t>
  </si>
  <si>
    <t>Vinkelmål for formkode</t>
  </si>
  <si>
    <t>ARM.55 - Vb</t>
  </si>
  <si>
    <t>ARM.56 - Vc</t>
  </si>
  <si>
    <t>ARM.57 - Vd</t>
  </si>
  <si>
    <t>ARM.80 - Kapplengde</t>
  </si>
  <si>
    <t>8550 mm</t>
  </si>
  <si>
    <t>Jernets kapplengde før bøying</t>
  </si>
  <si>
    <t>ARM.81 - Totallengde</t>
  </si>
  <si>
    <t>58550 mm</t>
  </si>
  <si>
    <t>Totallengde for hele armeringsgruppen. Spesielt aktuell dersom gruppen er definert som løpemeter</t>
  </si>
  <si>
    <t>ARM.82 - Nettareal</t>
  </si>
  <si>
    <t>IfcAreaMeasure</t>
  </si>
  <si>
    <t>28 m2</t>
  </si>
  <si>
    <t>ARM.83 - Vekt per jern</t>
  </si>
  <si>
    <t>IfcMassMeasure</t>
  </si>
  <si>
    <t>20 kg</t>
  </si>
  <si>
    <t>Vekt per jern</t>
  </si>
  <si>
    <t>ARM.84 - Vekt per gruppe</t>
  </si>
  <si>
    <t>1320 kg</t>
  </si>
  <si>
    <t>Total vekt av gruppen jern</t>
  </si>
  <si>
    <t>MAX.40 - A</t>
  </si>
  <si>
    <t>Største lengdemål for formkode, og benyttes kun dersom jernet varierer (hvis ARM.17 - Er varierende?" = "Ja")</t>
  </si>
  <si>
    <t>MAX.41 - B</t>
  </si>
  <si>
    <t>MAX.42 - C</t>
  </si>
  <si>
    <t>MAX.43 - D</t>
  </si>
  <si>
    <t>MAX.44 - E</t>
  </si>
  <si>
    <t>MAX.45 - F</t>
  </si>
  <si>
    <t>MAX.46 - G</t>
  </si>
  <si>
    <t>MAX.47 - H</t>
  </si>
  <si>
    <t>MAX.48 - H1</t>
  </si>
  <si>
    <t>MAX.49 - H2</t>
  </si>
  <si>
    <t>MAX.50 - I</t>
  </si>
  <si>
    <t>MAX.51 - J</t>
  </si>
  <si>
    <t>MAX.52 - K</t>
  </si>
  <si>
    <t>MAX.53 - R</t>
  </si>
  <si>
    <t>MAX.54 - Va</t>
  </si>
  <si>
    <t>MAX.55 - Vb</t>
  </si>
  <si>
    <t>MAX.56 - Vc</t>
  </si>
  <si>
    <t>MAX.57 - Vd</t>
  </si>
  <si>
    <t>MAX.80 - Kapplengde</t>
  </si>
  <si>
    <t>MIN.40 - A</t>
  </si>
  <si>
    <t>MIN.41 - B</t>
  </si>
  <si>
    <t>MIN.42 - C</t>
  </si>
  <si>
    <t>MIN.43 - D</t>
  </si>
  <si>
    <t>MIN.44 - E</t>
  </si>
  <si>
    <t>MIN.45 - F</t>
  </si>
  <si>
    <t>MIN.46 - G</t>
  </si>
  <si>
    <t>MIN.47 - H</t>
  </si>
  <si>
    <t>MIN.48 - H1</t>
  </si>
  <si>
    <t>MIN.49 - H2</t>
  </si>
  <si>
    <t>MIN.50 - I</t>
  </si>
  <si>
    <t>MIN.51 - J</t>
  </si>
  <si>
    <t>MIN.52 - K</t>
  </si>
  <si>
    <t>MIN.53 - R</t>
  </si>
  <si>
    <t>MIN.54 - Va</t>
  </si>
  <si>
    <t>MIN.55 - Vb</t>
  </si>
  <si>
    <t>MIN.56 - Vc</t>
  </si>
  <si>
    <t>MIN.57 - Vd</t>
  </si>
  <si>
    <t>MIN.80 - Kapplengde</t>
  </si>
  <si>
    <t>SPA.01 - Spennenhet ID</t>
  </si>
  <si>
    <t>D1-03</t>
  </si>
  <si>
    <t>Unik ID for spennenheten</t>
  </si>
  <si>
    <t>SPA.02 - Kapasitet spennkabel, Fp0,1k [kN]</t>
  </si>
  <si>
    <t>Fp0,1 * Antall spenntau i spennkabel</t>
  </si>
  <si>
    <t>SPA.03 - Oppspenningskraft før låsing [kN]</t>
  </si>
  <si>
    <t>Oppspenningskraft før låsing iht. prosjekteringen</t>
  </si>
  <si>
    <t>SPA.04 - Maksimal initiell forspenningskraft i kabel etter låsing, P0 [kN]</t>
  </si>
  <si>
    <t>0,85 * Fp0,1k</t>
  </si>
  <si>
    <t>SPA.10 - Krav for oppspenning</t>
  </si>
  <si>
    <t>44 Mpa terningfasthet</t>
  </si>
  <si>
    <t>Kriterier som må ivaretas før oppspenning</t>
  </si>
  <si>
    <t>SPA.11 - Oppspenningsrekkefølge</t>
  </si>
  <si>
    <t>E1-16 -&gt; E1-05</t>
  </si>
  <si>
    <t>Oppspenningsrekkefølge i støpeetappen</t>
  </si>
  <si>
    <t>SPA.20 - Areal per spenntau [mm2]</t>
  </si>
  <si>
    <t>Areal per spenntau/lisse i spennenheten</t>
  </si>
  <si>
    <t>SPA.21 - Antall spenntau i spennkabel</t>
  </si>
  <si>
    <t>Antall spenntau i spennenheten</t>
  </si>
  <si>
    <t>SPA.22 - Kabelkanal, diameter</t>
  </si>
  <si>
    <t>Indre/ytre: 100/105 mm</t>
  </si>
  <si>
    <t>Kabelkanalens dimensjon</t>
  </si>
  <si>
    <t>SPA.23 - Lengde</t>
  </si>
  <si>
    <t>Kabelkanalens lengde</t>
  </si>
  <si>
    <t>SPA.24 - Rettstrekk ved forankring</t>
  </si>
  <si>
    <t>Minste rettstrekk av kabelkanal ved forankring</t>
  </si>
  <si>
    <t>SPA.25 - Systemets minste tillatte bøyeradius</t>
  </si>
  <si>
    <t>12 meter</t>
  </si>
  <si>
    <t>Minste tillate bøyeradius iht. spennsystemets ETA</t>
  </si>
  <si>
    <t>SPA.26 - Vinkelendring</t>
  </si>
  <si>
    <t>Kabelens totale vinkelendring</t>
  </si>
  <si>
    <t>SPA.30 - Toleranse vertikalt</t>
  </si>
  <si>
    <t>± 9 mm</t>
  </si>
  <si>
    <t>Toleranse iht. Norsk betongforenings publikasjon 14</t>
  </si>
  <si>
    <t>SPA.31 - Toleranse horisontalt</t>
  </si>
  <si>
    <t>± 30 mm</t>
  </si>
  <si>
    <t>SPA.32 - Lag</t>
  </si>
  <si>
    <t>Dersom det er flere lag med spennarmering</t>
  </si>
  <si>
    <t>SPA.33 - Oppspenningspakke</t>
  </si>
  <si>
    <t>1</t>
  </si>
  <si>
    <t>Dersom spennenhetene sorteres i pakker</t>
  </si>
  <si>
    <t>SPA.34 - Injiseringsmerknad</t>
  </si>
  <si>
    <t>Lufting/drenering forslag er forutsatt injisering fra sør mot nord</t>
  </si>
  <si>
    <t>Informasjon knyttet til injisering</t>
  </si>
  <si>
    <t>LGR.01 - Lager-ID</t>
  </si>
  <si>
    <t>01-1</t>
  </si>
  <si>
    <t>ID-nummer/merking for lager</t>
  </si>
  <si>
    <t>LGR.02 - Type</t>
  </si>
  <si>
    <t>Pottelager</t>
  </si>
  <si>
    <t>Angivelse av type lager</t>
  </si>
  <si>
    <t>LGR.03 - Funksjon</t>
  </si>
  <si>
    <t>Ensidig</t>
  </si>
  <si>
    <t>Fast/Ensidig/Allsidig</t>
  </si>
  <si>
    <t>Lagerets funksjon</t>
  </si>
  <si>
    <t>LGR.10 - Bevegelse primærretning lager</t>
  </si>
  <si>
    <t>± 144 mm</t>
  </si>
  <si>
    <t>Faktisk beregnet bevegelse.</t>
  </si>
  <si>
    <t>LGR.11 - Bevegelse sekundærretning lager</t>
  </si>
  <si>
    <t>± 13 mm</t>
  </si>
  <si>
    <t xml:space="preserve">Faktisk beregnet bevegelse. </t>
  </si>
  <si>
    <t>LGR.12 - Tippvinkel [%]</t>
  </si>
  <si>
    <t>Lagerets tippvinkel</t>
  </si>
  <si>
    <t>LGR.13 - Monteringsvinkel  [%]</t>
  </si>
  <si>
    <t>I lagerets primærretning</t>
  </si>
  <si>
    <t>LGR.14 - Forinnstilling</t>
  </si>
  <si>
    <t>E=100 - 7*T</t>
  </si>
  <si>
    <t>Gis som en formel med temp som variabel eller som fast forinnstilling i mm</t>
  </si>
  <si>
    <t>LGR.20 - ULS Vertikallast, Vmax [kN]</t>
  </si>
  <si>
    <t>Største vertikallast fra ULS, Vmax</t>
  </si>
  <si>
    <t>LGR.21 - ULS Horisontallast, Hmax1 [kN]</t>
  </si>
  <si>
    <t>Største horisontallast fra ULS, Hmax1</t>
  </si>
  <si>
    <t>LGR.22 - ULS Vertikallast for maksimal horisontallast, Vtilh1 [kN]</t>
  </si>
  <si>
    <t>Tillhørende vertikallast til Hmax1</t>
  </si>
  <si>
    <t>LGR.23 - ULS Verikallast, Vmin2 [kN]</t>
  </si>
  <si>
    <t>Minste vertikallast ULS, Vmin2</t>
  </si>
  <si>
    <t>LGR.24 - ULS Horisontallast for minimal vertikallast, Htilh2 [kN]</t>
  </si>
  <si>
    <t>Tillhørende horisontallast til Vmin2</t>
  </si>
  <si>
    <t>LGR.30 - ALS Vertikallast, Vmax3 [kN]</t>
  </si>
  <si>
    <t>Største vertikallast fra ALS dersom det er nødvendig, Vmax3</t>
  </si>
  <si>
    <t>LGR.31 - ALS Horisontallast, Hmax4 [kN]</t>
  </si>
  <si>
    <t>Største horisontallast fra ALS dersom det er nødvendig, Hmax4</t>
  </si>
  <si>
    <t>LGR.32 - ALS Vertikallast for maksimal horisontallast, Vtilh4 [kN]</t>
  </si>
  <si>
    <t>Tillhørende vertikallast til Hmax4</t>
  </si>
  <si>
    <t>LGR.33 - ALS Verikallast, Vmin5 [kN]</t>
  </si>
  <si>
    <t>Minste vertikallast ALS dersom det er nødvendig, Vmin5</t>
  </si>
  <si>
    <t>LGR.34 - ALS Horisontallast for minimal vertikallast, Htilh5 [kN]</t>
  </si>
  <si>
    <t>Tillhørende horisontallast til Vmin5</t>
  </si>
  <si>
    <t>LGR.40 - Horisontallast, H6 [kN]</t>
  </si>
  <si>
    <t>Ekstra lastpar dersom aktuelt, horisontallast</t>
  </si>
  <si>
    <t>LGR.41 - Vertikallast, V6 [kN]</t>
  </si>
  <si>
    <t>Ekstra lastpar dersom aktuelt, vertikallast</t>
  </si>
  <si>
    <t>LGR.50 - Jekkelast uten trafikklast [kN]</t>
  </si>
  <si>
    <t>Laster for jekking ved skifte av lager (Vertikallast med trafikk i SLS Karatkteristisk)</t>
  </si>
  <si>
    <t>LGR.51 - Jekkelast med trafikklast [kN]</t>
  </si>
  <si>
    <t>Laster for jekking ved skifte av lager (Vertikallast uten trafikk i SLS Karatkteristisk)</t>
  </si>
  <si>
    <t>LGR.52 - Maksimal oppjekking</t>
  </si>
  <si>
    <t>IfcLenghtMeasure</t>
  </si>
  <si>
    <t>10 mm</t>
  </si>
  <si>
    <t>Maksimalt tillatte oppjekkingshøyde</t>
  </si>
  <si>
    <t>LGR.60 - Avlest innstilling ved overtakelse</t>
  </si>
  <si>
    <t>+ 50 mm</t>
  </si>
  <si>
    <t>Fylles inn ved behov ved som bygget</t>
  </si>
  <si>
    <t>LGR.61 - Dato for avlest verdi</t>
  </si>
  <si>
    <t>2025-09-29</t>
  </si>
  <si>
    <t>PEL.01 - Pel-ID</t>
  </si>
  <si>
    <t>P.14.01</t>
  </si>
  <si>
    <t>Pelens unike ID. Følger oppsett i prosjekt</t>
  </si>
  <si>
    <t>PEL.02 - Belastningtype</t>
  </si>
  <si>
    <t>Trykkpel, Strekkpel</t>
  </si>
  <si>
    <t>Pelens belastningstype</t>
  </si>
  <si>
    <t>PEL.03 - Installert kapasitet [kN]</t>
  </si>
  <si>
    <t>Pelens installerte kapasitet</t>
  </si>
  <si>
    <t>PEL.04 - Helning type</t>
  </si>
  <si>
    <t>Vertikalpel, Skråpel</t>
  </si>
  <si>
    <t>Klassifisering av pelens geometri-type</t>
  </si>
  <si>
    <t>PEL.05 - Helning [n/1]</t>
  </si>
  <si>
    <t>Pelens helning. 5 tilsvarer en helning 5:1. For vertikalpeler settes verdien som tom verdi, eller 999.</t>
  </si>
  <si>
    <t>PEL.10 - Lengde ansett til teoretisk berg</t>
  </si>
  <si>
    <t>Teoretisk lengde pel, angitt fra ansett til teoretisk bergoverflate, målt langs pelens teoretiske lengdeakse/senterlinje</t>
  </si>
  <si>
    <t>PEL.11 - Kappnivå</t>
  </si>
  <si>
    <t>Avstand fra ansett til kappnivå, målt langs pelens teoretiske senterlinje. Kan evt. gis geometrisk i modell som stikningsdata</t>
  </si>
  <si>
    <t>PEL.12 - Minimum innboring i godt berg/innramming i faste masser</t>
  </si>
  <si>
    <t>Minste innboring/ innramming i fast berg. Forskjellig tall for foringsrør og kjerne. Avhengig av hva som markeres. Øvrige merknader dekks av utførelsesmerknader</t>
  </si>
  <si>
    <t>PEL.20 - Ansett-toleranse</t>
  </si>
  <si>
    <t>100 mm</t>
  </si>
  <si>
    <t>Ansetttoleranse, kan også/i tillegg modelleres som toleranseobjekter</t>
  </si>
  <si>
    <t>PEL.21 - Retningstoleranse [%]</t>
  </si>
  <si>
    <t>Retningstoleranse, kan også/i tillegg modelleres som toleranseobjekter. Avvik i horisontalretning</t>
  </si>
  <si>
    <t>PEL.22 - Helningstoleranse [%]</t>
  </si>
  <si>
    <t>Helningstoleranse, kan også/i tillegg modelleres som toleranseobjekter. Avvik i vertikalretning</t>
  </si>
  <si>
    <t>PEL.30 - Forventet vinkel mot berg [grader]</t>
  </si>
  <si>
    <t>Forventet vinkel mot bergoverflate, målt mellom pelens teoretiske senterlinje og den teoretiske bergmodellen. 90 grader svarer til berg normalt på pelakse. Tiltak mot skrens bør vurderes ved vinkel mindre enn 60 grader</t>
  </si>
  <si>
    <t>PEL.31 - Minimum frilengde</t>
  </si>
  <si>
    <t>Minste nødvendige frilengde</t>
  </si>
  <si>
    <t>PEL.32 - Lengde i vann</t>
  </si>
  <si>
    <t>29390 mm</t>
  </si>
  <si>
    <t>Lengde i fritt vann ut fra grunnlagsmodell for lag i grunnen</t>
  </si>
  <si>
    <t>PEL.33 - Lengde i løsmasser</t>
  </si>
  <si>
    <t>6840 mm</t>
  </si>
  <si>
    <t>Lengde i løsmasser ut fra grunnlagsmodell for lag i grunnen</t>
  </si>
  <si>
    <t>PEL.34 - Lengde i fast morene</t>
  </si>
  <si>
    <t>2450 mm</t>
  </si>
  <si>
    <t>Lengde i morenemasser ut fra grunnlagsmodell for lag i grunnen</t>
  </si>
  <si>
    <t>PEL.40 - Pelemerknad krav 1</t>
  </si>
  <si>
    <t>Merknad til å beskrive krav til avstamdsholder, vannstandskontroll, vanntapsmåling, retthetsmåling, videoinspeksjon, bruk av prøvepel og bruk av luftlodd</t>
  </si>
  <si>
    <t>PEL.41 - Pelemerknad krav 2</t>
  </si>
  <si>
    <t>PEL.42 - Pelemerknad krav 3</t>
  </si>
  <si>
    <t>PEL.43 - Pelemerknad skjøt</t>
  </si>
  <si>
    <t>Merknad for informasjon om skjøt. Innebærer blant annet begresinger for skjøt, om skjøt av kjerne er gjenget eller sveist og kapasitet for skjøt i trykk, bøying og strekk</t>
  </si>
  <si>
    <t>PEL.44 - Pelemerknad ramming 1</t>
  </si>
  <si>
    <t>Merknad for informasjon om ramming. Innebærer rammeutstyr, type lodd, loddvekt, rammeenergi, spesielle krav til fallhøyde, stoppslgningskriterier, kriterier for etteramming og omfang av dynamiske kontrollmålinger</t>
  </si>
  <si>
    <t>PEL.45 - Pelemerknad ramming 2</t>
  </si>
  <si>
    <t>PEL.46 - Pelemerknad ramming 3</t>
  </si>
  <si>
    <t>PEL.47 - Pelemerknad øvrige 1</t>
  </si>
  <si>
    <t>Øvrige merknader til peler og pelearbeider</t>
  </si>
  <si>
    <t>PEL.48 - Pelemerknad øvrige 2</t>
  </si>
  <si>
    <t>PEL.49 - Pelemerknad øvrige 3</t>
  </si>
  <si>
    <t>FUG.01 - Fugetype</t>
  </si>
  <si>
    <t>Fingerfuge</t>
  </si>
  <si>
    <t>Fingerfuge / flerelementfuge</t>
  </si>
  <si>
    <t>Angivelse av type fuge</t>
  </si>
  <si>
    <t>FUG.02 - Bevegelseskapasitet</t>
  </si>
  <si>
    <t>+ 90mm / - 90 mm</t>
  </si>
  <si>
    <t>Fugens bevegelseskapasitet i mm</t>
  </si>
  <si>
    <t>FUG.03 - Forhåndsinnstillinger</t>
  </si>
  <si>
    <t>Fugeåpning reduseres med 25 mm fra midtstilling</t>
  </si>
  <si>
    <t>Fugens forhåndsinnstillinger ved montering</t>
  </si>
  <si>
    <t>FUG.04 - Tillatt temperatur ved installasjon</t>
  </si>
  <si>
    <t xml:space="preserve">10 - 20 grader celsius </t>
  </si>
  <si>
    <t>Spenn for akseptabel temperatur for montering av fugen med de gitte forhåndsinnstillingene</t>
  </si>
  <si>
    <t>FUG.05 - Gjenstående forskaling</t>
  </si>
  <si>
    <t>Gjenstående syrefaste plater benyttes som forskaling, med 30 mm nedstikk.</t>
  </si>
  <si>
    <t>Egenskap for å beskrive dersom deler av fugen skal benyttes som forskaling</t>
  </si>
  <si>
    <t>STL.01 - Utførelsesklasse</t>
  </si>
  <si>
    <t>EXC1</t>
  </si>
  <si>
    <t>EXC1 - EXC4</t>
  </si>
  <si>
    <t>iht. NS-EN 1090-2</t>
  </si>
  <si>
    <t>STL.02 - Tilvirkningstoleranse</t>
  </si>
  <si>
    <t>1 , 2</t>
  </si>
  <si>
    <t>STL.03 - Monteringstoleranse</t>
  </si>
  <si>
    <t>STL.11 - Farge på siste dekkestrøk</t>
  </si>
  <si>
    <t>RAL7036</t>
  </si>
  <si>
    <t>Beskriv fargen som skal påføres stålet</t>
  </si>
  <si>
    <t>STL.12 - Referansetemperatur</t>
  </si>
  <si>
    <t>10 C</t>
  </si>
  <si>
    <t>Temp. som brukes som ref.punkt for å evaluere eller analysere materialegenskapene til stålet</t>
  </si>
  <si>
    <t>STL.21 - Sveis</t>
  </si>
  <si>
    <t>Alle sveiser utføres som kilsveis med a-mål = 5mm</t>
  </si>
  <si>
    <t>Brukes kun dersom sveis ikke modelleres</t>
  </si>
  <si>
    <t>STL.30 - Profilnavn (dup)</t>
  </si>
  <si>
    <t>Profilnavn</t>
  </si>
  <si>
    <t>STL.31 - Materialspesifikasjon (dup)</t>
  </si>
  <si>
    <t>S355ML</t>
  </si>
  <si>
    <t>Materialgrad</t>
  </si>
  <si>
    <t>STL.32 - Materialstandard</t>
  </si>
  <si>
    <t>NS-EN 10025-4</t>
  </si>
  <si>
    <t>Materialstandard for aktuelt stålmaterial</t>
  </si>
  <si>
    <t>STL.33 - Z-kvalitetsklasse</t>
  </si>
  <si>
    <t>Z25</t>
  </si>
  <si>
    <t>I henhold til NS-EN 10164</t>
  </si>
  <si>
    <t>STL.39 - Kritisk ståltemperatur</t>
  </si>
  <si>
    <t>-50 C</t>
  </si>
  <si>
    <t>Den laveste temp. der stålet mister nødvendige mekaniske egenskaper som seighet og duktilitet</t>
  </si>
  <si>
    <t>System 1 iht. SVV hb. N400 pkt. 9.2.1</t>
  </si>
  <si>
    <t>**1</t>
  </si>
  <si>
    <t>Dette er en kombinasjon av korrosivitetskategori og holdbarhet</t>
  </si>
  <si>
    <t>System 2 iht. SVV hb. N400 pkt. 9.2.1</t>
  </si>
  <si>
    <t>Varmforsinking A iht. SVV hb. N400 pkt. 9.2.1</t>
  </si>
  <si>
    <t>Varmforsinking B iht. SVV hb. N400 pkt. 9.2.1</t>
  </si>
  <si>
    <t>Varmforsinking C iht. SVV hb. N400 pkt. 9.2.1</t>
  </si>
  <si>
    <t>C2/L iht. NS-EN ISO 12944-1 til 5</t>
  </si>
  <si>
    <t>C2/M iht. NS-EN ISO 12944-1 til 5</t>
  </si>
  <si>
    <t>C2/H iht. NS-EN ISO 12944-1 til 5</t>
  </si>
  <si>
    <t>C2/VH iht. NS-EN ISO 12944-1 til 5</t>
  </si>
  <si>
    <t>C3/L iht. NS-EN ISO 12944-1 til 5</t>
  </si>
  <si>
    <t>C3/M iht. NS-EN ISO 12944-1 til 5</t>
  </si>
  <si>
    <t>C3/H iht. NS-EN ISO 12944-1 til 5</t>
  </si>
  <si>
    <t>C3/VH iht. NS-EN ISO 12944-1 til 5</t>
  </si>
  <si>
    <t>C4/L iht. NS-EN ISO 12944-1 til 5</t>
  </si>
  <si>
    <t>C4/M iht. NS-EN ISO 12944-1 til 5</t>
  </si>
  <si>
    <t>C4/H iht. NS-EN ISO 12944-1 til 5</t>
  </si>
  <si>
    <t>C4/VH iht. NS-EN ISO 12944-1 til 5</t>
  </si>
  <si>
    <t>C5/L iht. NS-EN ISO 12944-1 til 5</t>
  </si>
  <si>
    <t>C5/M iht. NS-EN ISO 12944-1 til 5</t>
  </si>
  <si>
    <t>C5/H iht. NS-EN ISO 12944-1 til 5</t>
  </si>
  <si>
    <t>C5/VH iht. NS-EN ISO 12944-1 til 5</t>
  </si>
  <si>
    <t>SVS.01 - Type side 1</t>
  </si>
  <si>
    <t>Kilsveis</t>
  </si>
  <si>
    <t>Type sveis side 1</t>
  </si>
  <si>
    <t>SVS.02 - Type side 2</t>
  </si>
  <si>
    <t>Brukes kun hvis tosidig sveis</t>
  </si>
  <si>
    <t>SVS.03 - Størrelse side 1</t>
  </si>
  <si>
    <t>5 mm</t>
  </si>
  <si>
    <t>Størrelse på sveis side 1</t>
  </si>
  <si>
    <t>SVS.04 - Størrelse side 2</t>
  </si>
  <si>
    <t>SVS.05 - Tilleggssymbol side 1</t>
  </si>
  <si>
    <t>Plan</t>
  </si>
  <si>
    <t>Ingen / Plan / Konveks / Konkav</t>
  </si>
  <si>
    <t>Sveisens synlige overflate side 1</t>
  </si>
  <si>
    <t>SVS.06 - Tilleggssymbol side 2</t>
  </si>
  <si>
    <t>Konveks</t>
  </si>
  <si>
    <t>SVS.10 - Lengde på sveis</t>
  </si>
  <si>
    <t>Total lengde på sveis. begge sider</t>
  </si>
  <si>
    <t>SVS.15 - Utførelsessted</t>
  </si>
  <si>
    <t>Site</t>
  </si>
  <si>
    <t>Site, Workshop</t>
  </si>
  <si>
    <t>SVS.20 - Sveisekontrollklasse</t>
  </si>
  <si>
    <t>WIC1 iht. NS-EN 1090-2:2018 Tillegg L</t>
  </si>
  <si>
    <t>WIC1-WIC5</t>
  </si>
  <si>
    <t>Velg om du vil ha med referanse til standard eller ei</t>
  </si>
  <si>
    <t>SVS.21 - Detaljkategori</t>
  </si>
  <si>
    <t>Kvalitetsnivå C 63 iht. NS-EN 1090-2</t>
  </si>
  <si>
    <t>**2</t>
  </si>
  <si>
    <t>Ved utmattelsespåkjent sveis må det settes detaljkategori</t>
  </si>
  <si>
    <t>SVS.30 - Sveisenummer</t>
  </si>
  <si>
    <t>S45</t>
  </si>
  <si>
    <t>På verksted nummereres ofte sveis på både tegn og i FDV dok.</t>
  </si>
  <si>
    <t>SVS.40 - Primærkomponent (dup)</t>
  </si>
  <si>
    <t>DSS-1005</t>
  </si>
  <si>
    <t>Dette er komponentnummer i KON_Felles</t>
  </si>
  <si>
    <t>SVS.41 - Sekundærkomponent 1</t>
  </si>
  <si>
    <t>DSB-1087</t>
  </si>
  <si>
    <t>SVS.42 - Sekundærkomponent 2</t>
  </si>
  <si>
    <t>DSB-1055</t>
  </si>
  <si>
    <t>Ingen</t>
  </si>
  <si>
    <t>Bertelsveis</t>
  </si>
  <si>
    <t>Buttsveis i I-fuge</t>
  </si>
  <si>
    <t>Buttsveis i V-fuge</t>
  </si>
  <si>
    <t>Buttsveis i halv V-fuge</t>
  </si>
  <si>
    <t>Buttsveis i halv Y-fuge</t>
  </si>
  <si>
    <t>Buttsveis i Y-fuge</t>
  </si>
  <si>
    <t>Buttsveis i U-fuge</t>
  </si>
  <si>
    <t>Buttsveis i J-fuge</t>
  </si>
  <si>
    <t>Bakveis med ettersveis på rotsiden</t>
  </si>
  <si>
    <t>Pluggsveis</t>
  </si>
  <si>
    <t>Punktsveis</t>
  </si>
  <si>
    <t>Sømsveis</t>
  </si>
  <si>
    <t>Hulkilsveis</t>
  </si>
  <si>
    <t>Spesialsveis (se merknad)</t>
  </si>
  <si>
    <t>Kvalitetsnivå B 90 iht. NS-EN 1090-2</t>
  </si>
  <si>
    <t>FMI.01 - Navn</t>
  </si>
  <si>
    <t>6k-skrue M20x60-NS-ISO 4014</t>
  </si>
  <si>
    <t>Bør definere festemiddelet godt, og kan også henvise til relevant standard</t>
  </si>
  <si>
    <t>FMI.02 - Antall skruer</t>
  </si>
  <si>
    <t>Antall skruer i skrueforbindelsen</t>
  </si>
  <si>
    <t>FMI.03 - Skruediameter</t>
  </si>
  <si>
    <t>16 mm</t>
  </si>
  <si>
    <t>Skruediameter</t>
  </si>
  <si>
    <t>FMI.04 - Skruelengde</t>
  </si>
  <si>
    <t>Lengden på skruen</t>
  </si>
  <si>
    <t>FMI.05 - Kvalitet</t>
  </si>
  <si>
    <t>8.8</t>
  </si>
  <si>
    <t>Kvaliteten på skrueforbindelsen</t>
  </si>
  <si>
    <t>FMI.06 - Monteringssted</t>
  </si>
  <si>
    <t>Byggeplass</t>
  </si>
  <si>
    <t>Byggeplass, Verksted</t>
  </si>
  <si>
    <t>Beskriver hvor skrueforbindelsen skal monteres</t>
  </si>
  <si>
    <t>FMI.10 - Hulldiameter</t>
  </si>
  <si>
    <t>18 mm</t>
  </si>
  <si>
    <t>Noen skrueforbindelser inneholder hulldiameter for stålet. Hvis så er tilfelle, legg den til her</t>
  </si>
  <si>
    <t>FMI.11 - Hullmerknad</t>
  </si>
  <si>
    <t>Hullet skal være gjenget</t>
  </si>
  <si>
    <t>Hvis du trenger å gi tekstlig bemerkning til skruehullene, f.eks. om gjenging eller dimensjon for avlange hull</t>
  </si>
  <si>
    <t>FMI.20 - Forspenningskraft [kN]</t>
  </si>
  <si>
    <t>Angi forspenningskraft for forspente skrueforbindelser</t>
  </si>
  <si>
    <t>FMI.21 - Forspenningsmetode</t>
  </si>
  <si>
    <t>Kombinert metode (K1)</t>
  </si>
  <si>
    <t>Angi forspenningsmetode for forspente skrueforbindelser iht. NS-EN 1090:2019</t>
  </si>
  <si>
    <t>FMI.30 - Mutternavn</t>
  </si>
  <si>
    <t>6k-mutter M20-NS-ISO 4032</t>
  </si>
  <si>
    <t>Mutternavnet bør definere mutterne godt, og kan også henvise til relevant standard</t>
  </si>
  <si>
    <t>FMI.31 - Antall muttere</t>
  </si>
  <si>
    <t>Antall muttere i skrueforbindelsen</t>
  </si>
  <si>
    <t>FMI.40 - Skivenavn</t>
  </si>
  <si>
    <t>Underlagsskive M20-NS-ISO 7089</t>
  </si>
  <si>
    <t>Skivenavnet bør definere skivene godt, og kan også henvise til relevant standard</t>
  </si>
  <si>
    <t>FMI.41 - Antall skiver</t>
  </si>
  <si>
    <t>Antall skiver i skrueforbindelsen</t>
  </si>
  <si>
    <t>Momentmetode (K2)</t>
  </si>
  <si>
    <t>Kombinert metode (K2)</t>
  </si>
  <si>
    <t>HRC-tiltrekkingsmetode (K0)</t>
  </si>
  <si>
    <t>HRC-tiltrekkingsmetode (K2)</t>
  </si>
  <si>
    <t>Metode med direkte spenningsindikator (K0)</t>
  </si>
  <si>
    <t>Metode med direkte spenningsindikator (K1)</t>
  </si>
  <si>
    <t>Metode med direkte spenningsindikator (K2)</t>
  </si>
  <si>
    <t>TRE.01 - Utførelsesklasse</t>
  </si>
  <si>
    <t>1 - 3</t>
  </si>
  <si>
    <t>iht. Tabell 1 i NS 3516:2017</t>
  </si>
  <si>
    <t>TRE.02 - Toleranseklasse</t>
  </si>
  <si>
    <t>iht. punkt 8 i NS 3516:2017</t>
  </si>
  <si>
    <t>TRE.03 - Værbeskyttelsesklasse</t>
  </si>
  <si>
    <t>PL1</t>
  </si>
  <si>
    <t>PL1 - PL3</t>
  </si>
  <si>
    <t>iht. pkt. 5.4 i NS 3516:2017</t>
  </si>
  <si>
    <t>TRE.04 - Impregneringsklasse</t>
  </si>
  <si>
    <t>M</t>
  </si>
  <si>
    <t>M / A / AB / B</t>
  </si>
  <si>
    <t>iht. NTR-dok.nr. 1:2017</t>
  </si>
  <si>
    <t>TRE.05 - Kreosot impregneringsklasse</t>
  </si>
  <si>
    <t>TRE.30 - Profilnavn (dup)</t>
  </si>
  <si>
    <t>48*198</t>
  </si>
  <si>
    <t>Profilnavnet duplisert fra KON_Felles</t>
  </si>
  <si>
    <t>TRE.31 - Materialspesifikasjon (dup)</t>
  </si>
  <si>
    <t>GL 24h</t>
  </si>
  <si>
    <t>Materialgrad duplisert fra KON_Felles</t>
  </si>
  <si>
    <t>TRE.32 - Materialstandard</t>
  </si>
  <si>
    <t>NS-EN 14080</t>
  </si>
  <si>
    <t>Materialstandard</t>
  </si>
  <si>
    <t>LSM.01 - Materialspesifikasjon (dup)</t>
  </si>
  <si>
    <t>Ifctext</t>
  </si>
  <si>
    <t>Knust berg 22/125</t>
  </si>
  <si>
    <t>LSM.02 - Lagtykkelse</t>
  </si>
  <si>
    <t>Lagtykkelse inntil 300mm, 
Avrettingslag Maksimalt 200 mm</t>
  </si>
  <si>
    <t>Anvisning på lagtykkelse for løsmasser</t>
  </si>
  <si>
    <t>LSM.03 - Komprimering</t>
  </si>
  <si>
    <t>Komprimeres med vibroplate med totalvekt 500 – 800 kg og 4 – 6 overfarter
Hydraulisk vibroplate/kompaktor på gravemaskin kan benyttes i trange områder. Komprimeringskriterium skal avtales med byggherren
Komprimeres til minimum 95 % Modifisert Proctor.</t>
  </si>
  <si>
    <t>Anvisninger og krav til komprimering</t>
  </si>
  <si>
    <t>LSM.04 - Løsmassemerknad krav</t>
  </si>
  <si>
    <t xml:space="preserve">Det skal benyttes materialer av knust berg i henhold til vegnormal N200 Vegbygging (2024-12-20). Kult 22/125 skal være i henhold til 1.13.8.1 og 4.6.1. Knust berg 0/32 skal være i henhold til 4.7.1.1. Beskyttelses
</t>
  </si>
  <si>
    <t>Merknad til krav til løsmasser</t>
  </si>
  <si>
    <t>LSM.05 - Løsmassemerknad utførelse</t>
  </si>
  <si>
    <t>Knust berg 0/32 kan benyttes
dersom ikke membranleverandøren har andre krav.</t>
  </si>
  <si>
    <t>Gir prosjekt- og stedlige føringer for utførelse ved utlegging av løsmasser</t>
  </si>
  <si>
    <t>GMT.01 - Profilnavn (dup)</t>
  </si>
  <si>
    <t>HUP250x150x10</t>
  </si>
  <si>
    <t>GMT.02 - Lengde</t>
  </si>
  <si>
    <t>Lengde på objeket</t>
  </si>
  <si>
    <t>GMT.03 - Bredde</t>
  </si>
  <si>
    <t>Bredde på objeket</t>
  </si>
  <si>
    <t>GMT.04 - Høyde</t>
  </si>
  <si>
    <t>Høyde på objeket</t>
  </si>
  <si>
    <t>GMT.05 - Tykkelse</t>
  </si>
  <si>
    <t>Tykkelse på objeket</t>
  </si>
  <si>
    <t>GMT.06 - Radius</t>
  </si>
  <si>
    <t>Radius på objeket</t>
  </si>
  <si>
    <t>GMT.07 - Diameter</t>
  </si>
  <si>
    <t>Diameter på objeket</t>
  </si>
  <si>
    <t>GMT.10 - Tyngdepunkt X</t>
  </si>
  <si>
    <t>GMT.11 - Tyngdepunkt Y</t>
  </si>
  <si>
    <t>GMT.12 - Tyngdepunkt Z</t>
  </si>
  <si>
    <t>GMT.13 - Overkant kote (maksimum)</t>
  </si>
  <si>
    <t>GMT.14 - Underkant kote (minimum)</t>
  </si>
  <si>
    <t>GMT.20 - Stikningspunkt ID</t>
  </si>
  <si>
    <t>obj</t>
  </si>
  <si>
    <t>D1-03-001</t>
  </si>
  <si>
    <t>Unik ID for stikningsobjektet. Målene under kan f.eks. defineres på en vedlagt skisse for ulike stikningsobjekter</t>
  </si>
  <si>
    <t>GMT.21 - Profilnummer</t>
  </si>
  <si>
    <t>Profilnummeret stikningsobjektet referer til</t>
  </si>
  <si>
    <t>GMT.22 - U horisontal avstand</t>
  </si>
  <si>
    <t>Horsiontal avstand til cl bru (om ikke annet er avtalt)</t>
  </si>
  <si>
    <t>GMT.23 - V vertikal avstand</t>
  </si>
  <si>
    <t>Vertikal avstand fra UK tverrsnitt til CL kabelkanal (om ikke annet er avtalt)</t>
  </si>
  <si>
    <t>GMT.24 - X-koordinat</t>
  </si>
  <si>
    <t>X-koordinat for objektet i meter. Iht. valgt koordinatsystem. 3 desimaler</t>
  </si>
  <si>
    <t>GMT.25 - Y-koordinat</t>
  </si>
  <si>
    <t>Y-koordinat for objektet i meter. Iht. valgt koordinatsystem. 3 desimaler</t>
  </si>
  <si>
    <t>GMT.26 - Z-koordinat</t>
  </si>
  <si>
    <t>Z-koordinat for objektet i meter. Iht. valgt koordinatsystem. 3 desimaler</t>
  </si>
  <si>
    <t>Vi gir ingen føringer på hvordan hvert firma gir geometridata, men her er noen definerte egenskaper for standard geometrimål og stikningsdatainfo som kan brukes dersom man vil.</t>
  </si>
  <si>
    <t>Egne egenskaper legges til fra GMT.50</t>
  </si>
  <si>
    <t>STL.50 - Korrosjonsbeskyttelse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</si>
</sst>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Calibri"/>
      <family val="2"/>
      <scheme val="minor"/>
    </font>
    <font>
      <sz val="16"/>
      <color theme="1"/>
      <name val="Calibri"/>
      <family val="2"/>
      <scheme val="minor"/>
    </font>
    <font>
      <sz val="11"/>
      <color rgb="FFFF0000"/>
      <name val="Calibri"/>
      <family val="2"/>
      <scheme val="minor"/>
    </font>
    <font>
      <sz val="11"/>
      <color theme="9"/>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
      <sz val="11"/>
      <color theme="0" tint="-0.34998626667073579"/>
      <name val="Calibri"/>
      <family val="2"/>
      <scheme val="minor"/>
    </font>
    <font>
      <sz val="8"/>
      <name val="Calibri"/>
      <family val="2"/>
      <scheme val="minor"/>
    </font>
    <font>
      <sz val="11"/>
      <color rgb="FF000000"/>
      <name val="Calibri"/>
      <family val="2"/>
    </font>
    <font>
      <strike/>
      <sz val="11"/>
      <color theme="1"/>
      <name val="Calibri"/>
      <family val="2"/>
      <scheme val="minor"/>
    </font>
    <font>
      <strike/>
      <sz val="11"/>
      <color rgb="FFFF0000"/>
      <name val="Calibri"/>
      <family val="2"/>
      <scheme val="minor"/>
    </font>
    <font>
      <strike/>
      <sz val="10"/>
      <color rgb="FF000000"/>
      <name val="Calibri"/>
      <family val="2"/>
      <scheme val="minor"/>
    </font>
    <font>
      <sz val="11"/>
      <color theme="6"/>
      <name val="Calibri"/>
      <family val="2"/>
      <scheme val="minor"/>
    </font>
    <font>
      <strike/>
      <sz val="11"/>
      <color theme="6"/>
      <name val="Calibri"/>
      <family val="2"/>
      <scheme val="minor"/>
    </font>
    <font>
      <sz val="10"/>
      <color rgb="FFFF0000"/>
      <name val="Calibri"/>
      <family val="2"/>
      <scheme val="minor"/>
    </font>
    <font>
      <sz val="10"/>
      <color theme="1"/>
      <name val="Open Sans"/>
      <family val="2"/>
    </font>
    <font>
      <sz val="11"/>
      <color rgb="FF242424"/>
      <name val="Aptos Narrow"/>
      <family val="2"/>
    </font>
    <font>
      <i/>
      <sz val="11"/>
      <color rgb="FFFF0000"/>
      <name val="Calibri"/>
      <family val="2"/>
      <scheme val="minor"/>
    </font>
    <font>
      <sz val="11"/>
      <color theme="1"/>
      <name val="Calibri"/>
      <family val="2"/>
      <charset val="1"/>
    </font>
    <font>
      <sz val="11"/>
      <color theme="0" tint="-0.499984740745262"/>
      <name val="Calibri"/>
      <family val="2"/>
      <scheme val="minor"/>
    </font>
    <font>
      <u/>
      <sz val="11"/>
      <color theme="10"/>
      <name val="Calibri"/>
      <family val="2"/>
      <scheme val="minor"/>
    </font>
    <font>
      <sz val="18"/>
      <color theme="1"/>
      <name val="Calibri"/>
      <family val="2"/>
      <scheme val="minor"/>
    </font>
    <font>
      <u/>
      <sz val="18"/>
      <color theme="10"/>
      <name val="Calibri"/>
      <family val="2"/>
      <scheme val="minor"/>
    </font>
    <font>
      <u/>
      <sz val="11"/>
      <name val="Calibri"/>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0"/>
        <bgColor indexed="64"/>
      </patternFill>
    </fill>
  </fills>
  <borders count="1">
    <border>
      <left/>
      <right/>
      <top/>
      <bottom/>
      <diagonal/>
    </border>
  </borders>
  <cellStyleXfs count="3">
    <xf numFmtId="0" fontId="0" fillId="0" borderId="0"/>
    <xf numFmtId="0" fontId="16" fillId="0" borderId="0"/>
    <xf numFmtId="0" fontId="21" fillId="0" borderId="0" applyNumberFormat="0" applyFill="0" applyBorder="0" applyAlignment="0" applyProtection="0"/>
  </cellStyleXfs>
  <cellXfs count="37">
    <xf numFmtId="0" fontId="0" fillId="0" borderId="0" xfId="0"/>
    <xf numFmtId="0" fontId="0" fillId="0" borderId="0" xfId="0" quotePrefix="1"/>
    <xf numFmtId="0" fontId="1" fillId="0" borderId="0" xfId="0" applyFont="1"/>
    <xf numFmtId="0" fontId="0" fillId="2" borderId="0" xfId="0" applyFill="1"/>
    <xf numFmtId="0" fontId="3" fillId="0" borderId="0" xfId="0" applyFont="1"/>
    <xf numFmtId="0" fontId="2" fillId="0" borderId="0" xfId="0" applyFont="1"/>
    <xf numFmtId="0" fontId="4" fillId="0" borderId="0" xfId="0" applyFont="1"/>
    <xf numFmtId="0" fontId="0" fillId="0" borderId="0" xfId="0" applyAlignment="1">
      <alignment horizontal="left"/>
    </xf>
    <xf numFmtId="0" fontId="6" fillId="0" borderId="0" xfId="0" applyFont="1"/>
    <xf numFmtId="0" fontId="7" fillId="0" borderId="0" xfId="0" applyFont="1"/>
    <xf numFmtId="0" fontId="9" fillId="0" borderId="0" xfId="0" applyFont="1"/>
    <xf numFmtId="0" fontId="10" fillId="0" borderId="0" xfId="0" applyFont="1"/>
    <xf numFmtId="0" fontId="11" fillId="0" borderId="0" xfId="0" applyFont="1"/>
    <xf numFmtId="0" fontId="0" fillId="2" borderId="0" xfId="0" applyFill="1" applyAlignment="1">
      <alignment horizontal="left"/>
    </xf>
    <xf numFmtId="0" fontId="12" fillId="0" borderId="0" xfId="0" applyFont="1" applyAlignment="1">
      <alignment horizontal="left" vertical="top"/>
    </xf>
    <xf numFmtId="0" fontId="13" fillId="0" borderId="0" xfId="0" applyFont="1"/>
    <xf numFmtId="0" fontId="14" fillId="0" borderId="0" xfId="0" applyFont="1"/>
    <xf numFmtId="0" fontId="0" fillId="0" borderId="0" xfId="0" applyAlignment="1">
      <alignment wrapText="1"/>
    </xf>
    <xf numFmtId="0" fontId="15" fillId="0" borderId="0" xfId="0" applyFont="1" applyAlignment="1">
      <alignment horizontal="left" vertical="top"/>
    </xf>
    <xf numFmtId="0" fontId="17" fillId="0" borderId="0" xfId="0" applyFont="1"/>
    <xf numFmtId="0" fontId="5" fillId="0" borderId="0" xfId="0" applyFont="1"/>
    <xf numFmtId="0" fontId="18" fillId="0" borderId="0" xfId="0" applyFont="1"/>
    <xf numFmtId="0" fontId="11" fillId="0" borderId="0" xfId="0" applyFont="1" applyAlignment="1">
      <alignment horizontal="left"/>
    </xf>
    <xf numFmtId="0" fontId="19" fillId="0" borderId="0" xfId="0" applyFont="1"/>
    <xf numFmtId="0" fontId="0" fillId="0" borderId="0" xfId="0" applyAlignment="1">
      <alignment horizontal="center"/>
    </xf>
    <xf numFmtId="0" fontId="0" fillId="3" borderId="0" xfId="0" applyFill="1"/>
    <xf numFmtId="0" fontId="20" fillId="0" borderId="0" xfId="0" applyFont="1"/>
    <xf numFmtId="0" fontId="21" fillId="0" borderId="0" xfId="2"/>
    <xf numFmtId="0" fontId="21" fillId="0" borderId="0" xfId="2" applyFill="1"/>
    <xf numFmtId="0" fontId="22" fillId="3" borderId="0" xfId="0" applyFont="1" applyFill="1"/>
    <xf numFmtId="0" fontId="24" fillId="0" borderId="0" xfId="2" applyFont="1"/>
    <xf numFmtId="0" fontId="5" fillId="0" borderId="0" xfId="0" quotePrefix="1" applyFont="1"/>
    <xf numFmtId="0" fontId="5" fillId="0" borderId="0" xfId="0" applyFont="1" applyAlignment="1">
      <alignment vertical="center"/>
    </xf>
    <xf numFmtId="49" fontId="5" fillId="0" borderId="0" xfId="0" quotePrefix="1" applyNumberFormat="1" applyFont="1"/>
    <xf numFmtId="0" fontId="23" fillId="3" borderId="0" xfId="2" applyFont="1" applyFill="1" applyAlignment="1">
      <alignment horizontal="center"/>
    </xf>
    <xf numFmtId="0" fontId="22" fillId="3" borderId="0" xfId="0" applyFont="1" applyFill="1" applyAlignment="1">
      <alignment horizontal="center"/>
    </xf>
    <xf numFmtId="0" fontId="22" fillId="3" borderId="0" xfId="0" applyFont="1" applyFill="1" applyAlignment="1">
      <alignment horizontal="left"/>
    </xf>
  </cellXfs>
  <cellStyles count="3">
    <cellStyle name="Hyperlink" xfId="2" builtinId="8"/>
    <cellStyle name="Normal" xfId="0" builtinId="0"/>
    <cellStyle name="NV-eh_tabell-åpen" xfId="1" xr:uid="{63AF9A30-DA6E-4929-A722-7B9AF8C314BD}"/>
  </cellStyles>
  <dxfs count="54">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9"/>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34998626667073579"/>
      </font>
    </dxf>
    <dxf>
      <font>
        <strike val="0"/>
        <color theme="9"/>
      </font>
    </dxf>
    <dxf>
      <font>
        <strike val="0"/>
        <color theme="0" tint="-0.499984740745262"/>
      </font>
    </dxf>
    <dxf>
      <font>
        <strike val="0"/>
        <color theme="1"/>
      </font>
    </dxf>
    <dxf>
      <font>
        <strike val="0"/>
        <color theme="0" tint="-0.499984740745262"/>
      </font>
    </dxf>
    <dxf>
      <font>
        <strike val="0"/>
        <color theme="0" tint="-0.34998626667073579"/>
      </font>
    </dxf>
    <dxf>
      <font>
        <strike val="0"/>
        <color theme="1"/>
      </font>
    </dxf>
    <dxf>
      <font>
        <strike val="0"/>
        <color theme="1"/>
      </font>
    </dxf>
    <dxf>
      <font>
        <strike val="0"/>
        <color theme="0" tint="-0.34998626667073579"/>
      </font>
    </dxf>
    <dxf>
      <font>
        <strike val="0"/>
        <color theme="1"/>
      </font>
    </dxf>
    <dxf>
      <font>
        <strike val="0"/>
        <color theme="0" tint="-0.499984740745262"/>
      </font>
    </dxf>
  </dxfs>
  <tableStyles count="1" defaultTableStyle="TableStyleMedium2" defaultPivotStyle="PivotStyleLight16">
    <tableStyle name="Invisible" pivot="0" table="0" count="0" xr9:uid="{AC3A30F5-1F1B-44CF-B2A8-57928423A077}"/>
  </tableStyles>
  <colors>
    <mruColors>
      <color rgb="FF6D9CFB"/>
      <color rgb="FF548AFA"/>
      <color rgb="FF0641B6"/>
      <color rgb="FFC5DEF9"/>
      <color rgb="FF43BB87"/>
      <color rgb="FF2A7353"/>
      <color rgb="FFBDBDBD"/>
      <color rgb="FF808080"/>
      <color rgb="FF636363"/>
      <color rgb="FF3182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20</xdr:col>
      <xdr:colOff>392206</xdr:colOff>
      <xdr:row>21</xdr:row>
      <xdr:rowOff>174829</xdr:rowOff>
    </xdr:from>
    <xdr:to>
      <xdr:col>28</xdr:col>
      <xdr:colOff>529569</xdr:colOff>
      <xdr:row>34</xdr:row>
      <xdr:rowOff>156884</xdr:rowOff>
    </xdr:to>
    <xdr:pic>
      <xdr:nvPicPr>
        <xdr:cNvPr id="6" name="Picture 5">
          <a:extLst>
            <a:ext uri="{FF2B5EF4-FFF2-40B4-BE49-F238E27FC236}">
              <a16:creationId xmlns:a16="http://schemas.microsoft.com/office/drawing/2014/main" id="{E240E376-C06B-0974-7C00-FC9B9EF1046C}"/>
            </a:ext>
          </a:extLst>
        </xdr:cNvPr>
        <xdr:cNvPicPr>
          <a:picLocks noChangeAspect="1"/>
        </xdr:cNvPicPr>
      </xdr:nvPicPr>
      <xdr:blipFill>
        <a:blip xmlns:r="http://schemas.openxmlformats.org/officeDocument/2006/relationships" r:embed="rId1"/>
        <a:stretch>
          <a:fillRect/>
        </a:stretch>
      </xdr:blipFill>
      <xdr:spPr>
        <a:xfrm>
          <a:off x="12494559" y="4746829"/>
          <a:ext cx="4978304" cy="2458555"/>
        </a:xfrm>
        <a:prstGeom prst="rect">
          <a:avLst/>
        </a:prstGeom>
      </xdr:spPr>
    </xdr:pic>
    <xdr:clientData/>
  </xdr:twoCellAnchor>
  <xdr:twoCellAnchor editAs="oneCell">
    <xdr:from>
      <xdr:col>0</xdr:col>
      <xdr:colOff>470648</xdr:colOff>
      <xdr:row>19</xdr:row>
      <xdr:rowOff>22411</xdr:rowOff>
    </xdr:from>
    <xdr:to>
      <xdr:col>19</xdr:col>
      <xdr:colOff>329454</xdr:colOff>
      <xdr:row>55</xdr:row>
      <xdr:rowOff>127360</xdr:rowOff>
    </xdr:to>
    <xdr:pic>
      <xdr:nvPicPr>
        <xdr:cNvPr id="2" name="Picture 1">
          <a:extLst>
            <a:ext uri="{FF2B5EF4-FFF2-40B4-BE49-F238E27FC236}">
              <a16:creationId xmlns:a16="http://schemas.microsoft.com/office/drawing/2014/main" id="{D7C567D2-C949-5553-A144-EDE6E10336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0648" y="4213411"/>
          <a:ext cx="11217088" cy="6962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2</xdr:row>
      <xdr:rowOff>76200</xdr:rowOff>
    </xdr:from>
    <xdr:to>
      <xdr:col>9</xdr:col>
      <xdr:colOff>389890</xdr:colOff>
      <xdr:row>16</xdr:row>
      <xdr:rowOff>66343</xdr:rowOff>
    </xdr:to>
    <xdr:pic>
      <xdr:nvPicPr>
        <xdr:cNvPr id="3" name="Picture 2">
          <a:extLst>
            <a:ext uri="{FF2B5EF4-FFF2-40B4-BE49-F238E27FC236}">
              <a16:creationId xmlns:a16="http://schemas.microsoft.com/office/drawing/2014/main" id="{87F38A5A-D672-AAA4-D244-18FCAD20163C}"/>
            </a:ext>
          </a:extLst>
        </xdr:cNvPr>
        <xdr:cNvPicPr>
          <a:picLocks noChangeAspect="1"/>
        </xdr:cNvPicPr>
      </xdr:nvPicPr>
      <xdr:blipFill>
        <a:blip xmlns:r="http://schemas.openxmlformats.org/officeDocument/2006/relationships" r:embed="rId3"/>
        <a:stretch>
          <a:fillRect/>
        </a:stretch>
      </xdr:blipFill>
      <xdr:spPr>
        <a:xfrm>
          <a:off x="504825" y="1133475"/>
          <a:ext cx="5076190" cy="2657143"/>
        </a:xfrm>
        <a:prstGeom prst="rect">
          <a:avLst/>
        </a:prstGeom>
      </xdr:spPr>
    </xdr:pic>
    <xdr:clientData/>
  </xdr:twoCellAnchor>
  <xdr:twoCellAnchor editAs="oneCell">
    <xdr:from>
      <xdr:col>9</xdr:col>
      <xdr:colOff>447675</xdr:colOff>
      <xdr:row>2</xdr:row>
      <xdr:rowOff>0</xdr:rowOff>
    </xdr:from>
    <xdr:to>
      <xdr:col>18</xdr:col>
      <xdr:colOff>504132</xdr:colOff>
      <xdr:row>17</xdr:row>
      <xdr:rowOff>171071</xdr:rowOff>
    </xdr:to>
    <xdr:pic>
      <xdr:nvPicPr>
        <xdr:cNvPr id="4" name="Picture 3">
          <a:extLst>
            <a:ext uri="{FF2B5EF4-FFF2-40B4-BE49-F238E27FC236}">
              <a16:creationId xmlns:a16="http://schemas.microsoft.com/office/drawing/2014/main" id="{CC90BE15-69EA-F9A6-F6EE-465B1EA75EF9}"/>
            </a:ext>
          </a:extLst>
        </xdr:cNvPr>
        <xdr:cNvPicPr>
          <a:picLocks noChangeAspect="1"/>
        </xdr:cNvPicPr>
      </xdr:nvPicPr>
      <xdr:blipFill>
        <a:blip xmlns:r="http://schemas.openxmlformats.org/officeDocument/2006/relationships" r:embed="rId4"/>
        <a:stretch>
          <a:fillRect/>
        </a:stretch>
      </xdr:blipFill>
      <xdr:spPr>
        <a:xfrm>
          <a:off x="5638800" y="1047750"/>
          <a:ext cx="5542857" cy="3028571"/>
        </a:xfrm>
        <a:prstGeom prst="rect">
          <a:avLst/>
        </a:prstGeom>
      </xdr:spPr>
    </xdr:pic>
    <xdr:clientData/>
  </xdr:twoCellAnchor>
  <xdr:twoCellAnchor editAs="oneCell">
    <xdr:from>
      <xdr:col>20</xdr:col>
      <xdr:colOff>228600</xdr:colOff>
      <xdr:row>2</xdr:row>
      <xdr:rowOff>85725</xdr:rowOff>
    </xdr:from>
    <xdr:to>
      <xdr:col>28</xdr:col>
      <xdr:colOff>380371</xdr:colOff>
      <xdr:row>19</xdr:row>
      <xdr:rowOff>142463</xdr:rowOff>
    </xdr:to>
    <xdr:pic>
      <xdr:nvPicPr>
        <xdr:cNvPr id="5" name="Picture 4">
          <a:extLst>
            <a:ext uri="{FF2B5EF4-FFF2-40B4-BE49-F238E27FC236}">
              <a16:creationId xmlns:a16="http://schemas.microsoft.com/office/drawing/2014/main" id="{7ECD2498-3143-1655-FFCF-7A874BC25A8B}"/>
            </a:ext>
          </a:extLst>
        </xdr:cNvPr>
        <xdr:cNvPicPr>
          <a:picLocks noChangeAspect="1"/>
        </xdr:cNvPicPr>
      </xdr:nvPicPr>
      <xdr:blipFill>
        <a:blip xmlns:r="http://schemas.openxmlformats.org/officeDocument/2006/relationships" r:embed="rId5"/>
        <a:stretch>
          <a:fillRect/>
        </a:stretch>
      </xdr:blipFill>
      <xdr:spPr>
        <a:xfrm>
          <a:off x="12125325" y="1143000"/>
          <a:ext cx="5028571" cy="3295238"/>
        </a:xfrm>
        <a:prstGeom prst="rect">
          <a:avLst/>
        </a:prstGeom>
      </xdr:spPr>
    </xdr:pic>
    <xdr:clientData/>
  </xdr:twoCellAnchor>
  <xdr:twoCellAnchor editAs="oneCell">
    <xdr:from>
      <xdr:col>20</xdr:col>
      <xdr:colOff>247650</xdr:colOff>
      <xdr:row>35</xdr:row>
      <xdr:rowOff>66675</xdr:rowOff>
    </xdr:from>
    <xdr:to>
      <xdr:col>27</xdr:col>
      <xdr:colOff>494736</xdr:colOff>
      <xdr:row>37</xdr:row>
      <xdr:rowOff>114246</xdr:rowOff>
    </xdr:to>
    <xdr:pic>
      <xdr:nvPicPr>
        <xdr:cNvPr id="7" name="Picture 6">
          <a:extLst>
            <a:ext uri="{FF2B5EF4-FFF2-40B4-BE49-F238E27FC236}">
              <a16:creationId xmlns:a16="http://schemas.microsoft.com/office/drawing/2014/main" id="{EB4415A3-1A2E-A4C1-A94E-2FB62FD7D191}"/>
            </a:ext>
          </a:extLst>
        </xdr:cNvPr>
        <xdr:cNvPicPr>
          <a:picLocks noChangeAspect="1"/>
        </xdr:cNvPicPr>
      </xdr:nvPicPr>
      <xdr:blipFill>
        <a:blip xmlns:r="http://schemas.openxmlformats.org/officeDocument/2006/relationships" r:embed="rId6"/>
        <a:stretch>
          <a:fillRect/>
        </a:stretch>
      </xdr:blipFill>
      <xdr:spPr>
        <a:xfrm>
          <a:off x="12144375" y="7410450"/>
          <a:ext cx="4514286" cy="428571"/>
        </a:xfrm>
        <a:prstGeom prst="rect">
          <a:avLst/>
        </a:prstGeom>
      </xdr:spPr>
    </xdr:pic>
    <xdr:clientData/>
  </xdr:twoCellAnchor>
  <xdr:twoCellAnchor editAs="oneCell">
    <xdr:from>
      <xdr:col>1</xdr:col>
      <xdr:colOff>180975</xdr:colOff>
      <xdr:row>56</xdr:row>
      <xdr:rowOff>9525</xdr:rowOff>
    </xdr:from>
    <xdr:to>
      <xdr:col>14</xdr:col>
      <xdr:colOff>560937</xdr:colOff>
      <xdr:row>57</xdr:row>
      <xdr:rowOff>95215</xdr:rowOff>
    </xdr:to>
    <xdr:pic>
      <xdr:nvPicPr>
        <xdr:cNvPr id="8" name="Picture 7">
          <a:extLst>
            <a:ext uri="{FF2B5EF4-FFF2-40B4-BE49-F238E27FC236}">
              <a16:creationId xmlns:a16="http://schemas.microsoft.com/office/drawing/2014/main" id="{12A2C709-AEB8-55E1-6B82-755CE7A17AF5}"/>
            </a:ext>
          </a:extLst>
        </xdr:cNvPr>
        <xdr:cNvPicPr>
          <a:picLocks noChangeAspect="1"/>
        </xdr:cNvPicPr>
      </xdr:nvPicPr>
      <xdr:blipFill>
        <a:blip xmlns:r="http://schemas.openxmlformats.org/officeDocument/2006/relationships" r:embed="rId7"/>
        <a:stretch>
          <a:fillRect/>
        </a:stretch>
      </xdr:blipFill>
      <xdr:spPr>
        <a:xfrm>
          <a:off x="495300" y="11353800"/>
          <a:ext cx="8304762" cy="27619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bimsnacks.no/"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dokumenthotell.com/K100_03.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&#65279;<?xml version="1.0" encoding="utf-8" standalone="yes"?>
<Relationships xmlns="http://schemas.openxmlformats.org/package/2006/relationships">
  <Relationship Id="rId2" Type="http://schemas.openxmlformats.org/officeDocument/2006/relationships/printerSettings" Target="../printerSettings/printerSettings6.bin" />
  <Relationship Id="rId1" Type="http://schemas.openxmlformats.org/officeDocument/2006/relationships/hyperlink" Target="rewritten://dbe68d3b-b6cf-44c0-8adc-d3ed4798f053" TargetMode="External" />
</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80502-97E0-4657-A8AB-6047BC9A7450}">
  <sheetPr>
    <tabColor rgb="FFFFFF00"/>
  </sheetPr>
  <dimension ref="B2:AA45"/>
  <sheetViews>
    <sheetView tabSelected="1" zoomScaleNormal="100" workbookViewId="0">
      <selection activeCell="U43" sqref="U43"/>
    </sheetView>
  </sheetViews>
  <sheetFormatPr defaultColWidth="9.140625" defaultRowHeight="15" x14ac:dyDescent="0.25"/>
  <cols>
    <col min="1" max="1" width="4.7109375" style="25" customWidth="1"/>
    <col min="2" max="16384" width="9.140625" style="25"/>
  </cols>
  <sheetData>
    <row r="2" spans="2:10" ht="23.25" x14ac:dyDescent="0.35">
      <c r="B2" s="36" t="s">
        <v>0</v>
      </c>
      <c r="C2" s="36"/>
      <c r="D2" s="34" t="s">
        <v>1</v>
      </c>
      <c r="E2" s="35"/>
      <c r="F2" s="35"/>
      <c r="G2" s="35"/>
      <c r="H2" s="29"/>
      <c r="I2" s="29"/>
      <c r="J2" s="29"/>
    </row>
    <row r="45" spans="27:27" x14ac:dyDescent="0.25">
      <c r="AA45"/>
    </row>
  </sheetData>
  <mergeCells count="2">
    <mergeCell ref="D2:G2"/>
    <mergeCell ref="B2:C2"/>
  </mergeCells>
  <hyperlinks>
    <hyperlink ref="D2" r:id="rId1" xr:uid="{777B4612-01BE-4DF5-9859-CFF3CFAB8601}"/>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18C80-E906-4EE1-B598-E5119E9DFE6B}">
  <sheetPr>
    <tabColor rgb="FFFFC000"/>
  </sheetPr>
  <dimension ref="B2:R67"/>
  <sheetViews>
    <sheetView showGridLines="0" topLeftCell="A33" zoomScaleNormal="100" workbookViewId="0">
      <selection activeCell="K15" sqref="K15"/>
    </sheetView>
  </sheetViews>
  <sheetFormatPr defaultColWidth="9.140625" defaultRowHeight="15" x14ac:dyDescent="0.25"/>
  <cols>
    <col min="2" max="2" width="30.7109375" customWidth="1"/>
    <col min="3" max="3" width="28.42578125" customWidth="1"/>
    <col min="9" max="9" width="23.85546875" customWidth="1"/>
    <col min="10" max="10" width="28.85546875" bestFit="1" customWidth="1"/>
    <col min="11" max="11" width="21.85546875" bestFit="1" customWidth="1"/>
    <col min="22" max="22" width="37" bestFit="1" customWidth="1"/>
  </cols>
  <sheetData>
    <row r="2" spans="2:3" x14ac:dyDescent="0.25">
      <c r="B2" s="6" t="s">
        <v>2</v>
      </c>
    </row>
    <row r="3" spans="2:3" x14ac:dyDescent="0.25">
      <c r="B3" t="s">
        <v>3</v>
      </c>
    </row>
    <row r="4" spans="2:3" x14ac:dyDescent="0.25">
      <c r="B4" t="s">
        <v>4</v>
      </c>
    </row>
    <row r="5" spans="2:3" x14ac:dyDescent="0.25">
      <c r="B5" t="s">
        <v>5</v>
      </c>
    </row>
    <row r="6" spans="2:3" x14ac:dyDescent="0.25">
      <c r="B6" t="s">
        <v>6</v>
      </c>
    </row>
    <row r="7" spans="2:3" x14ac:dyDescent="0.25">
      <c r="B7" t="s">
        <v>7</v>
      </c>
    </row>
    <row r="8" spans="2:3" x14ac:dyDescent="0.25">
      <c r="B8" t="s">
        <v>8</v>
      </c>
    </row>
    <row r="11" spans="2:3" x14ac:dyDescent="0.25">
      <c r="B11" s="5"/>
    </row>
    <row r="13" spans="2:3" x14ac:dyDescent="0.25">
      <c r="B13" s="6" t="s">
        <v>9</v>
      </c>
    </row>
    <row r="14" spans="2:3" x14ac:dyDescent="0.25">
      <c r="B14" t="s">
        <v>10</v>
      </c>
      <c r="C14" s="20" t="s">
        <v>11</v>
      </c>
    </row>
    <row r="15" spans="2:3" x14ac:dyDescent="0.25">
      <c r="B15" t="s">
        <v>12</v>
      </c>
      <c r="C15" t="s">
        <v>13</v>
      </c>
    </row>
    <row r="16" spans="2:3" x14ac:dyDescent="0.25">
      <c r="B16" t="s">
        <v>14</v>
      </c>
      <c r="C16" s="1" t="s">
        <v>15</v>
      </c>
    </row>
    <row r="17" spans="2:10" x14ac:dyDescent="0.25">
      <c r="B17" t="s">
        <v>16</v>
      </c>
      <c r="C17" t="s">
        <v>17</v>
      </c>
    </row>
    <row r="18" spans="2:10" x14ac:dyDescent="0.25">
      <c r="B18" t="s">
        <v>18</v>
      </c>
      <c r="C18" s="20" t="s">
        <v>19</v>
      </c>
    </row>
    <row r="19" spans="2:10" x14ac:dyDescent="0.25">
      <c r="C19" s="26" t="s">
        <v>20</v>
      </c>
    </row>
    <row r="20" spans="2:10" x14ac:dyDescent="0.25">
      <c r="B20" s="4"/>
    </row>
    <row r="21" spans="2:10" x14ac:dyDescent="0.25">
      <c r="B21" s="9"/>
    </row>
    <row r="22" spans="2:10" x14ac:dyDescent="0.25">
      <c r="B22" s="6" t="s">
        <v>21</v>
      </c>
      <c r="I22" s="6" t="s">
        <v>22</v>
      </c>
    </row>
    <row r="23" spans="2:10" ht="15.75" customHeight="1" x14ac:dyDescent="0.25">
      <c r="B23" s="6" t="s">
        <v>23</v>
      </c>
      <c r="C23" s="6" t="s">
        <v>24</v>
      </c>
      <c r="D23" s="6" t="s">
        <v>25</v>
      </c>
      <c r="E23" s="6" t="s">
        <v>26</v>
      </c>
      <c r="I23" t="s">
        <v>27</v>
      </c>
      <c r="J23" t="s">
        <v>28</v>
      </c>
    </row>
    <row r="24" spans="2:10" x14ac:dyDescent="0.25">
      <c r="B24" t="s">
        <v>29</v>
      </c>
      <c r="C24" s="27" t="s">
        <v>30</v>
      </c>
      <c r="D24" t="s">
        <v>31</v>
      </c>
      <c r="I24" t="s">
        <v>32</v>
      </c>
      <c r="J24" t="s">
        <v>33</v>
      </c>
    </row>
    <row r="25" spans="2:10" x14ac:dyDescent="0.25">
      <c r="B25" t="s">
        <v>29</v>
      </c>
      <c r="C25" s="27" t="s">
        <v>34</v>
      </c>
      <c r="D25" t="s">
        <v>35</v>
      </c>
      <c r="I25" t="s">
        <v>36</v>
      </c>
      <c r="J25" t="s">
        <v>37</v>
      </c>
    </row>
    <row r="26" spans="2:10" x14ac:dyDescent="0.25">
      <c r="B26" t="s">
        <v>29</v>
      </c>
      <c r="C26" s="27" t="s">
        <v>38</v>
      </c>
      <c r="D26" t="s">
        <v>39</v>
      </c>
      <c r="I26" t="s">
        <v>40</v>
      </c>
      <c r="J26" t="s">
        <v>41</v>
      </c>
    </row>
    <row r="27" spans="2:10" x14ac:dyDescent="0.25">
      <c r="B27" t="s">
        <v>29</v>
      </c>
      <c r="C27" s="27" t="s">
        <v>42</v>
      </c>
      <c r="D27" t="s">
        <v>43</v>
      </c>
      <c r="I27" t="s">
        <v>44</v>
      </c>
      <c r="J27" t="s">
        <v>45</v>
      </c>
    </row>
    <row r="28" spans="2:10" x14ac:dyDescent="0.25">
      <c r="B28" t="s">
        <v>46</v>
      </c>
      <c r="C28" s="28" t="s">
        <v>47</v>
      </c>
      <c r="D28" t="s">
        <v>48</v>
      </c>
      <c r="E28" t="s">
        <v>48</v>
      </c>
      <c r="I28" t="s">
        <v>49</v>
      </c>
      <c r="J28" t="s">
        <v>50</v>
      </c>
    </row>
    <row r="29" spans="2:10" x14ac:dyDescent="0.25">
      <c r="B29" t="s">
        <v>46</v>
      </c>
      <c r="C29" s="27" t="s">
        <v>51</v>
      </c>
      <c r="D29" t="s">
        <v>52</v>
      </c>
      <c r="E29" t="s">
        <v>48</v>
      </c>
      <c r="I29" t="s">
        <v>53</v>
      </c>
      <c r="J29" t="s">
        <v>54</v>
      </c>
    </row>
    <row r="30" spans="2:10" x14ac:dyDescent="0.25">
      <c r="B30" t="s">
        <v>46</v>
      </c>
      <c r="C30" s="27" t="s">
        <v>55</v>
      </c>
      <c r="D30" t="s">
        <v>56</v>
      </c>
      <c r="E30" t="s">
        <v>48</v>
      </c>
      <c r="I30" t="s">
        <v>57</v>
      </c>
      <c r="J30" t="s">
        <v>58</v>
      </c>
    </row>
    <row r="31" spans="2:10" x14ac:dyDescent="0.25">
      <c r="B31" t="s">
        <v>46</v>
      </c>
      <c r="C31" s="27" t="s">
        <v>59</v>
      </c>
      <c r="D31" t="s">
        <v>60</v>
      </c>
      <c r="E31" t="s">
        <v>48</v>
      </c>
      <c r="I31" t="s">
        <v>61</v>
      </c>
      <c r="J31" t="s">
        <v>62</v>
      </c>
    </row>
    <row r="32" spans="2:10" x14ac:dyDescent="0.25">
      <c r="B32" t="s">
        <v>46</v>
      </c>
      <c r="C32" s="27" t="s">
        <v>63</v>
      </c>
      <c r="D32" t="s">
        <v>64</v>
      </c>
      <c r="E32" t="s">
        <v>48</v>
      </c>
      <c r="I32" t="s">
        <v>65</v>
      </c>
      <c r="J32" t="s">
        <v>66</v>
      </c>
    </row>
    <row r="33" spans="2:5" x14ac:dyDescent="0.25">
      <c r="B33" t="s">
        <v>46</v>
      </c>
      <c r="C33" s="27" t="s">
        <v>67</v>
      </c>
      <c r="D33" t="s">
        <v>68</v>
      </c>
      <c r="E33" t="s">
        <v>48</v>
      </c>
    </row>
    <row r="34" spans="2:5" x14ac:dyDescent="0.25">
      <c r="B34" t="s">
        <v>46</v>
      </c>
      <c r="C34" s="27" t="s">
        <v>69</v>
      </c>
      <c r="D34" t="s">
        <v>70</v>
      </c>
      <c r="E34" t="s">
        <v>48</v>
      </c>
    </row>
    <row r="35" spans="2:5" x14ac:dyDescent="0.25">
      <c r="B35" t="s">
        <v>46</v>
      </c>
      <c r="C35" s="27" t="s">
        <v>71</v>
      </c>
      <c r="D35" t="s">
        <v>72</v>
      </c>
      <c r="E35" t="s">
        <v>48</v>
      </c>
    </row>
    <row r="36" spans="2:5" x14ac:dyDescent="0.25">
      <c r="B36" t="s">
        <v>46</v>
      </c>
      <c r="C36" s="27" t="s">
        <v>73</v>
      </c>
      <c r="D36" t="s">
        <v>74</v>
      </c>
      <c r="E36" t="s">
        <v>48</v>
      </c>
    </row>
    <row r="37" spans="2:5" x14ac:dyDescent="0.25">
      <c r="B37" t="s">
        <v>46</v>
      </c>
      <c r="C37" s="27" t="s">
        <v>75</v>
      </c>
      <c r="D37" t="s">
        <v>76</v>
      </c>
      <c r="E37" t="s">
        <v>48</v>
      </c>
    </row>
    <row r="38" spans="2:5" x14ac:dyDescent="0.25">
      <c r="B38" t="s">
        <v>46</v>
      </c>
      <c r="C38" s="27" t="s">
        <v>77</v>
      </c>
      <c r="D38" t="s">
        <v>78</v>
      </c>
      <c r="E38" t="s">
        <v>48</v>
      </c>
    </row>
    <row r="39" spans="2:5" x14ac:dyDescent="0.25">
      <c r="B39" t="s">
        <v>46</v>
      </c>
      <c r="C39" s="27" t="s">
        <v>79</v>
      </c>
      <c r="D39" t="s">
        <v>80</v>
      </c>
      <c r="E39" t="s">
        <v>48</v>
      </c>
    </row>
    <row r="40" spans="2:5" x14ac:dyDescent="0.25">
      <c r="B40" t="s">
        <v>46</v>
      </c>
      <c r="C40" s="27" t="s">
        <v>81</v>
      </c>
      <c r="D40" t="s">
        <v>82</v>
      </c>
      <c r="E40" t="s">
        <v>48</v>
      </c>
    </row>
    <row r="41" spans="2:5" x14ac:dyDescent="0.25">
      <c r="B41" t="s">
        <v>83</v>
      </c>
      <c r="C41" t="str">
        <f>D41&amp;"_Felles"</f>
        <v>AKU_Felles</v>
      </c>
      <c r="D41" t="s">
        <v>84</v>
      </c>
      <c r="E41" t="s">
        <v>84</v>
      </c>
    </row>
    <row r="42" spans="2:5" x14ac:dyDescent="0.25">
      <c r="B42" t="s">
        <v>85</v>
      </c>
      <c r="C42" t="str">
        <f t="shared" ref="C42:C66" si="0">D42&amp;"_Felles"</f>
        <v>ARK_Felles</v>
      </c>
      <c r="D42" t="s">
        <v>86</v>
      </c>
      <c r="E42" t="s">
        <v>86</v>
      </c>
    </row>
    <row r="43" spans="2:5" x14ac:dyDescent="0.25">
      <c r="B43" t="s">
        <v>87</v>
      </c>
      <c r="C43" t="str">
        <f t="shared" si="0"/>
        <v>BAN_Felles</v>
      </c>
      <c r="D43" t="s">
        <v>88</v>
      </c>
      <c r="E43" t="s">
        <v>88</v>
      </c>
    </row>
    <row r="44" spans="2:5" x14ac:dyDescent="0.25">
      <c r="B44" t="s">
        <v>89</v>
      </c>
      <c r="C44" t="str">
        <f t="shared" si="0"/>
        <v>BRA_Felles</v>
      </c>
      <c r="D44" t="s">
        <v>90</v>
      </c>
      <c r="E44" t="s">
        <v>90</v>
      </c>
    </row>
    <row r="45" spans="2:5" x14ac:dyDescent="0.25">
      <c r="B45" t="s">
        <v>91</v>
      </c>
      <c r="C45" t="str">
        <f t="shared" si="0"/>
        <v>RIB_Felles</v>
      </c>
      <c r="D45" t="s">
        <v>92</v>
      </c>
      <c r="E45" t="s">
        <v>92</v>
      </c>
    </row>
    <row r="46" spans="2:5" x14ac:dyDescent="0.25">
      <c r="B46" t="s">
        <v>93</v>
      </c>
      <c r="C46" t="str">
        <f t="shared" si="0"/>
        <v>ELE_Felles</v>
      </c>
      <c r="D46" t="s">
        <v>94</v>
      </c>
      <c r="E46" t="s">
        <v>94</v>
      </c>
    </row>
    <row r="47" spans="2:5" x14ac:dyDescent="0.25">
      <c r="B47" t="s">
        <v>95</v>
      </c>
      <c r="C47" t="str">
        <f t="shared" si="0"/>
        <v>KLE_Felles</v>
      </c>
      <c r="D47" t="s">
        <v>96</v>
      </c>
      <c r="E47" t="s">
        <v>96</v>
      </c>
    </row>
    <row r="48" spans="2:5" x14ac:dyDescent="0.25">
      <c r="B48" t="s">
        <v>97</v>
      </c>
      <c r="C48" t="str">
        <f t="shared" si="0"/>
        <v>LAN_Felles</v>
      </c>
      <c r="D48" t="s">
        <v>98</v>
      </c>
      <c r="E48" t="s">
        <v>98</v>
      </c>
    </row>
    <row r="49" spans="2:18" x14ac:dyDescent="0.25">
      <c r="B49" t="s">
        <v>99</v>
      </c>
      <c r="C49" t="str">
        <f t="shared" si="0"/>
        <v>SIG_Felles</v>
      </c>
      <c r="D49" t="s">
        <v>100</v>
      </c>
      <c r="E49" t="s">
        <v>100</v>
      </c>
    </row>
    <row r="50" spans="2:18" x14ac:dyDescent="0.25">
      <c r="B50" t="s">
        <v>101</v>
      </c>
      <c r="C50" t="str">
        <f t="shared" si="0"/>
        <v>SIK_Felles</v>
      </c>
      <c r="D50" t="s">
        <v>102</v>
      </c>
      <c r="E50" t="s">
        <v>102</v>
      </c>
    </row>
    <row r="51" spans="2:18" x14ac:dyDescent="0.25">
      <c r="B51" t="s">
        <v>103</v>
      </c>
      <c r="C51" t="str">
        <f t="shared" si="0"/>
        <v>TLE_Felles</v>
      </c>
      <c r="D51" t="s">
        <v>104</v>
      </c>
      <c r="E51" t="s">
        <v>104</v>
      </c>
    </row>
    <row r="52" spans="2:18" x14ac:dyDescent="0.25">
      <c r="B52" t="s">
        <v>105</v>
      </c>
      <c r="C52" t="str">
        <f t="shared" si="0"/>
        <v>VAN_Felles</v>
      </c>
      <c r="D52" t="s">
        <v>106</v>
      </c>
      <c r="E52" t="s">
        <v>106</v>
      </c>
    </row>
    <row r="53" spans="2:18" x14ac:dyDescent="0.25">
      <c r="B53" t="s">
        <v>107</v>
      </c>
      <c r="C53" t="str">
        <f t="shared" si="0"/>
        <v>VVS_Felles</v>
      </c>
      <c r="D53" t="s">
        <v>107</v>
      </c>
      <c r="E53" t="s">
        <v>107</v>
      </c>
    </row>
    <row r="54" spans="2:18" x14ac:dyDescent="0.25">
      <c r="B54" t="s">
        <v>108</v>
      </c>
      <c r="C54" t="str">
        <f t="shared" si="0"/>
        <v>PLA_Felles</v>
      </c>
      <c r="D54" t="s">
        <v>109</v>
      </c>
      <c r="E54" t="s">
        <v>109</v>
      </c>
    </row>
    <row r="55" spans="2:18" x14ac:dyDescent="0.25">
      <c r="B55" t="s">
        <v>110</v>
      </c>
      <c r="C55" t="str">
        <f t="shared" si="0"/>
        <v>GEO_Felles</v>
      </c>
      <c r="D55" t="s">
        <v>111</v>
      </c>
      <c r="E55" t="s">
        <v>111</v>
      </c>
      <c r="R55" s="4"/>
    </row>
    <row r="56" spans="2:18" x14ac:dyDescent="0.25">
      <c r="B56" t="s">
        <v>112</v>
      </c>
      <c r="C56" t="str">
        <f t="shared" si="0"/>
        <v>GTE_Felles</v>
      </c>
      <c r="D56" t="s">
        <v>113</v>
      </c>
      <c r="E56" t="s">
        <v>113</v>
      </c>
      <c r="R56" s="8"/>
    </row>
    <row r="57" spans="2:18" x14ac:dyDescent="0.25">
      <c r="B57" t="s">
        <v>114</v>
      </c>
      <c r="C57" t="str">
        <f t="shared" si="0"/>
        <v>GRU_Felles</v>
      </c>
      <c r="D57" t="s">
        <v>115</v>
      </c>
      <c r="E57" t="s">
        <v>115</v>
      </c>
    </row>
    <row r="58" spans="2:18" x14ac:dyDescent="0.25">
      <c r="B58" t="s">
        <v>116</v>
      </c>
      <c r="C58" t="str">
        <f t="shared" si="0"/>
        <v>HYG_Felles</v>
      </c>
      <c r="D58" t="s">
        <v>117</v>
      </c>
      <c r="E58" t="s">
        <v>117</v>
      </c>
    </row>
    <row r="59" spans="2:18" x14ac:dyDescent="0.25">
      <c r="B59" t="s">
        <v>118</v>
      </c>
      <c r="C59" t="str">
        <f t="shared" si="0"/>
        <v>HYD_Felles</v>
      </c>
      <c r="D59" t="s">
        <v>119</v>
      </c>
      <c r="E59" t="s">
        <v>119</v>
      </c>
    </row>
    <row r="60" spans="2:18" x14ac:dyDescent="0.25">
      <c r="B60" t="s">
        <v>120</v>
      </c>
      <c r="C60" t="str">
        <f t="shared" si="0"/>
        <v>INT_Felles</v>
      </c>
      <c r="D60" t="s">
        <v>121</v>
      </c>
      <c r="E60" t="s">
        <v>121</v>
      </c>
    </row>
    <row r="61" spans="2:18" x14ac:dyDescent="0.25">
      <c r="B61" t="s">
        <v>122</v>
      </c>
      <c r="C61" t="str">
        <f t="shared" si="0"/>
        <v>RIG_Felles</v>
      </c>
      <c r="D61" t="s">
        <v>123</v>
      </c>
      <c r="E61" t="s">
        <v>123</v>
      </c>
    </row>
    <row r="62" spans="2:18" x14ac:dyDescent="0.25">
      <c r="B62" t="s">
        <v>124</v>
      </c>
      <c r="C62" t="str">
        <f t="shared" si="0"/>
        <v>SIK_Felles</v>
      </c>
      <c r="D62" t="s">
        <v>102</v>
      </c>
      <c r="E62" t="s">
        <v>102</v>
      </c>
    </row>
    <row r="63" spans="2:18" x14ac:dyDescent="0.25">
      <c r="B63" s="25" t="s">
        <v>125</v>
      </c>
      <c r="C63" t="str">
        <f t="shared" si="0"/>
        <v>SKI_Felles</v>
      </c>
      <c r="D63" t="s">
        <v>126</v>
      </c>
      <c r="E63" t="s">
        <v>126</v>
      </c>
    </row>
    <row r="64" spans="2:18" x14ac:dyDescent="0.25">
      <c r="B64" t="s">
        <v>127</v>
      </c>
      <c r="C64" t="str">
        <f t="shared" si="0"/>
        <v>STO_Felles</v>
      </c>
      <c r="D64" t="s">
        <v>128</v>
      </c>
      <c r="E64" t="s">
        <v>128</v>
      </c>
    </row>
    <row r="65" spans="2:5" x14ac:dyDescent="0.25">
      <c r="B65" t="s">
        <v>129</v>
      </c>
      <c r="C65" t="str">
        <f t="shared" si="0"/>
        <v>TUN_Felles</v>
      </c>
      <c r="D65" t="s">
        <v>130</v>
      </c>
      <c r="E65" t="s">
        <v>130</v>
      </c>
    </row>
    <row r="66" spans="2:5" x14ac:dyDescent="0.25">
      <c r="B66" s="25" t="s">
        <v>131</v>
      </c>
      <c r="C66" t="str">
        <f t="shared" si="0"/>
        <v>VEG_Felles</v>
      </c>
      <c r="D66" t="s">
        <v>132</v>
      </c>
      <c r="E66" t="s">
        <v>132</v>
      </c>
    </row>
    <row r="67" spans="2:5" x14ac:dyDescent="0.25">
      <c r="B67" s="25"/>
    </row>
  </sheetData>
  <hyperlinks>
    <hyperlink ref="C29" location="KON_Armering!A1" display="KON_Armering" xr:uid="{2143D371-DDD5-470B-8BDA-9FA42D101973}"/>
    <hyperlink ref="C30" location="KON_Betong!A1" display="KON_Betong" xr:uid="{4E81CA8A-B592-4F2D-A355-74E8C98AA494}"/>
    <hyperlink ref="C31" location="KON_Lager!A1" display="KON_Lager" xr:uid="{BF9866E3-9DA3-41FC-BC6E-79715C53C319}"/>
    <hyperlink ref="C32" location="KON_Spennarmering!A1" display="KON_Spennarmering" xr:uid="{C2C69D49-33AD-4D47-A3D2-DE328571B914}"/>
    <hyperlink ref="C34" location="KON_Peler!A1" display="KON_Peler" xr:uid="{13BB47E0-6BFD-4265-A2F7-EE832BCCEFDA}"/>
    <hyperlink ref="C24" location="BIM_Modellinfo!A1" display="BIM_Modellinfo" xr:uid="{237227A0-7A28-4434-9BD0-F5AAC8EC1C97}"/>
    <hyperlink ref="C25" location="BIM_Tverrfaglig!A1" display="BIM_Tverrfaglig" xr:uid="{96CD22C1-1DEB-4387-BF0E-C54E73DA1F84}"/>
    <hyperlink ref="C26" location="BIM_Beskrivelse!A1" display="BIM_Beskrivelse" xr:uid="{7005D91C-57F3-4D5A-A529-43C6D4D8461B}"/>
    <hyperlink ref="C27" location="BIM_FDV!A1" display="BIM_FDV" xr:uid="{1554B920-8C40-454D-9B57-DD4F69BD5AA6}"/>
    <hyperlink ref="C35" location="KON_Sveis!A1" display="KON_Sveis" xr:uid="{E5A564B6-29DE-470A-9CD1-8578BFBC62E8}"/>
    <hyperlink ref="C36" location="KON_Stål!A1" display="KON_Stål" xr:uid="{92F907A6-8EAE-43AF-9B06-700E0949E403}"/>
    <hyperlink ref="C37" location="KON_Festemidler!A1" display="KON_Festemidler" xr:uid="{39EA1594-56E2-48A0-A386-9ECD6C7A51AB}"/>
    <hyperlink ref="C38" location="KON_Tre!A1" display="KON_Tre" xr:uid="{8F2D18FF-18ED-4FE1-812A-E2CBE3624BD5}"/>
    <hyperlink ref="C39" location="KON_Løsmasser!A1" display="KON_Løsmasser" xr:uid="{D05E7A63-15EE-47AC-B250-DF54668E5CCF}"/>
    <hyperlink ref="C40" location="KON_Geometri!A1" display="KON_Geometri" xr:uid="{969AA362-4BB8-45C6-AB70-414F3A2F4C5F}"/>
    <hyperlink ref="C28" location="KON_Felles!A1" display="KON_Felles" xr:uid="{6823BA11-D271-489E-851D-D7403E08194B}"/>
    <hyperlink ref="C33" location="KON_Fuger!A1" display="KON_Fuger" xr:uid="{67BCB37D-EBD0-4298-AD91-ACD648B3AD4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A2583-E679-4E1D-A40A-1D0CF3B5132D}">
  <sheetPr>
    <tabColor rgb="FFC5DEF9"/>
  </sheetPr>
  <dimension ref="A1:J74"/>
  <sheetViews>
    <sheetView topLeftCell="A22" zoomScaleNormal="100" workbookViewId="0">
      <selection activeCell="A45" sqref="A45"/>
    </sheetView>
  </sheetViews>
  <sheetFormatPr defaultColWidth="9.140625" defaultRowHeight="15" x14ac:dyDescent="0.25"/>
  <cols>
    <col min="1" max="1" width="42.28515625" bestFit="1" customWidth="1"/>
    <col min="2" max="2" width="9" bestFit="1" customWidth="1"/>
    <col min="3" max="3" width="20.28515625" bestFit="1" customWidth="1"/>
    <col min="4" max="4" width="48.140625" bestFit="1" customWidth="1"/>
    <col min="5" max="5" width="22.42578125" customWidth="1"/>
    <col min="6" max="6" width="21" customWidth="1"/>
    <col min="7" max="7" width="22.85546875" customWidth="1"/>
    <col min="8" max="8" width="79" customWidth="1"/>
  </cols>
  <sheetData>
    <row r="1" spans="1:10" ht="21" x14ac:dyDescent="0.35">
      <c r="A1" s="2" t="s">
        <v>133</v>
      </c>
      <c r="I1" t="s">
        <v>134</v>
      </c>
    </row>
    <row r="2" spans="1:10" x14ac:dyDescent="0.25">
      <c r="A2" s="3" t="s">
        <v>32</v>
      </c>
      <c r="B2" s="3" t="s">
        <v>36</v>
      </c>
      <c r="C2" s="3" t="s">
        <v>40</v>
      </c>
      <c r="D2" s="3" t="s">
        <v>44</v>
      </c>
      <c r="E2" s="3" t="s">
        <v>49</v>
      </c>
      <c r="F2" s="3" t="s">
        <v>53</v>
      </c>
      <c r="G2" s="3" t="s">
        <v>57</v>
      </c>
      <c r="H2" s="3" t="s">
        <v>61</v>
      </c>
      <c r="I2" s="3" t="s">
        <v>65</v>
      </c>
      <c r="J2" s="9"/>
    </row>
    <row r="3" spans="1:10" s="20" customFormat="1" x14ac:dyDescent="0.25">
      <c r="A3" s="20" t="s">
        <v>135</v>
      </c>
      <c r="B3" s="20" t="s">
        <v>136</v>
      </c>
      <c r="C3" s="20" t="s">
        <v>137</v>
      </c>
      <c r="D3" s="20" t="s">
        <v>138</v>
      </c>
      <c r="E3" s="20" t="s">
        <v>138</v>
      </c>
      <c r="F3" s="20" t="s">
        <v>138</v>
      </c>
      <c r="G3" s="20" t="s">
        <v>138</v>
      </c>
      <c r="H3" s="20" t="s">
        <v>139</v>
      </c>
      <c r="I3" s="20" t="s">
        <v>140</v>
      </c>
    </row>
    <row r="4" spans="1:10" s="20" customFormat="1" x14ac:dyDescent="0.25">
      <c r="A4" s="20" t="s">
        <v>141</v>
      </c>
      <c r="B4" s="20" t="s">
        <v>136</v>
      </c>
      <c r="C4" s="20" t="s">
        <v>137</v>
      </c>
      <c r="D4" s="20" t="s">
        <v>142</v>
      </c>
      <c r="F4" s="20" t="s">
        <v>143</v>
      </c>
      <c r="G4" s="20" t="s">
        <v>144</v>
      </c>
      <c r="H4" s="20" t="s">
        <v>145</v>
      </c>
      <c r="I4" s="20" t="s">
        <v>140</v>
      </c>
    </row>
    <row r="5" spans="1:10" s="20" customFormat="1" x14ac:dyDescent="0.25">
      <c r="A5" s="20" t="s">
        <v>146</v>
      </c>
      <c r="B5" s="20" t="s">
        <v>136</v>
      </c>
      <c r="C5" s="20" t="s">
        <v>137</v>
      </c>
      <c r="D5" s="20" t="s">
        <v>147</v>
      </c>
      <c r="F5" s="20" t="s">
        <v>143</v>
      </c>
      <c r="G5" s="20" t="s">
        <v>144</v>
      </c>
      <c r="H5" s="20" t="s">
        <v>148</v>
      </c>
      <c r="I5" s="20" t="s">
        <v>149</v>
      </c>
    </row>
    <row r="6" spans="1:10" s="20" customFormat="1" x14ac:dyDescent="0.25">
      <c r="A6" s="20" t="s">
        <v>150</v>
      </c>
      <c r="B6" s="20" t="s">
        <v>136</v>
      </c>
      <c r="C6" s="20" t="s">
        <v>137</v>
      </c>
      <c r="D6" s="31" t="s">
        <v>151</v>
      </c>
      <c r="F6" s="20" t="s">
        <v>143</v>
      </c>
      <c r="G6" s="20" t="s">
        <v>144</v>
      </c>
      <c r="H6" s="20" t="s">
        <v>152</v>
      </c>
      <c r="I6" s="20" t="s">
        <v>149</v>
      </c>
    </row>
    <row r="7" spans="1:10" s="20" customFormat="1" x14ac:dyDescent="0.25">
      <c r="A7" s="20" t="s">
        <v>153</v>
      </c>
      <c r="B7" s="20" t="s">
        <v>136</v>
      </c>
      <c r="C7" s="20" t="s">
        <v>137</v>
      </c>
      <c r="D7" s="20" t="s">
        <v>154</v>
      </c>
      <c r="F7" s="20" t="s">
        <v>143</v>
      </c>
      <c r="G7" s="20" t="s">
        <v>144</v>
      </c>
      <c r="H7" s="20" t="s">
        <v>155</v>
      </c>
      <c r="I7" s="20" t="s">
        <v>140</v>
      </c>
    </row>
    <row r="8" spans="1:10" s="20" customFormat="1" x14ac:dyDescent="0.25">
      <c r="A8" s="20" t="s">
        <v>156</v>
      </c>
      <c r="B8" s="20" t="s">
        <v>136</v>
      </c>
      <c r="C8" s="20" t="s">
        <v>137</v>
      </c>
      <c r="D8" s="20">
        <v>123</v>
      </c>
      <c r="F8" s="20" t="s">
        <v>143</v>
      </c>
      <c r="G8" s="20" t="s">
        <v>144</v>
      </c>
      <c r="H8" s="20" t="s">
        <v>157</v>
      </c>
      <c r="I8" s="20" t="s">
        <v>149</v>
      </c>
    </row>
    <row r="9" spans="1:10" s="20" customFormat="1" x14ac:dyDescent="0.25">
      <c r="A9" s="20" t="s">
        <v>158</v>
      </c>
      <c r="B9" s="20" t="s">
        <v>136</v>
      </c>
      <c r="C9" s="20" t="s">
        <v>137</v>
      </c>
      <c r="D9" s="20" t="s">
        <v>159</v>
      </c>
      <c r="F9" s="20" t="s">
        <v>143</v>
      </c>
      <c r="G9" s="20" t="s">
        <v>144</v>
      </c>
      <c r="H9" s="20" t="s">
        <v>160</v>
      </c>
      <c r="I9" s="20" t="s">
        <v>140</v>
      </c>
    </row>
    <row r="10" spans="1:10" s="20" customFormat="1" x14ac:dyDescent="0.25">
      <c r="A10" s="20" t="s">
        <v>161</v>
      </c>
      <c r="B10" s="20" t="s">
        <v>136</v>
      </c>
      <c r="C10" s="20" t="s">
        <v>137</v>
      </c>
      <c r="D10" s="20" t="s">
        <v>162</v>
      </c>
      <c r="F10" s="20" t="s">
        <v>143</v>
      </c>
      <c r="G10" s="20" t="s">
        <v>144</v>
      </c>
      <c r="H10" s="20" t="s">
        <v>163</v>
      </c>
      <c r="I10" s="20" t="s">
        <v>140</v>
      </c>
    </row>
    <row r="11" spans="1:10" s="20" customFormat="1" x14ac:dyDescent="0.25">
      <c r="A11" s="20" t="s">
        <v>164</v>
      </c>
      <c r="B11" s="20" t="s">
        <v>136</v>
      </c>
      <c r="C11" s="20" t="s">
        <v>137</v>
      </c>
      <c r="D11" s="20" t="s">
        <v>165</v>
      </c>
      <c r="F11" s="20" t="s">
        <v>143</v>
      </c>
      <c r="G11" s="20" t="s">
        <v>144</v>
      </c>
      <c r="H11" s="20" t="s">
        <v>166</v>
      </c>
      <c r="I11" s="20" t="s">
        <v>149</v>
      </c>
    </row>
    <row r="12" spans="1:10" s="20" customFormat="1" x14ac:dyDescent="0.25">
      <c r="A12" s="20" t="s">
        <v>167</v>
      </c>
      <c r="B12" s="20" t="s">
        <v>136</v>
      </c>
      <c r="C12" s="20" t="s">
        <v>137</v>
      </c>
      <c r="D12" s="20">
        <v>20223792</v>
      </c>
      <c r="F12" s="20" t="s">
        <v>143</v>
      </c>
      <c r="G12" s="20" t="s">
        <v>144</v>
      </c>
      <c r="H12" s="20" t="s">
        <v>168</v>
      </c>
      <c r="I12" s="20" t="s">
        <v>140</v>
      </c>
    </row>
    <row r="13" spans="1:10" s="20" customFormat="1" x14ac:dyDescent="0.25">
      <c r="A13" s="20" t="s">
        <v>169</v>
      </c>
      <c r="B13" s="20" t="s">
        <v>136</v>
      </c>
      <c r="C13" s="20" t="s">
        <v>137</v>
      </c>
      <c r="D13" s="20" t="s">
        <v>170</v>
      </c>
      <c r="F13" s="20" t="s">
        <v>143</v>
      </c>
      <c r="G13" s="20" t="s">
        <v>171</v>
      </c>
      <c r="H13" s="20" t="s">
        <v>172</v>
      </c>
      <c r="I13" s="20" t="s">
        <v>140</v>
      </c>
    </row>
    <row r="14" spans="1:10" s="20" customFormat="1" x14ac:dyDescent="0.25">
      <c r="A14" s="20" t="s">
        <v>173</v>
      </c>
      <c r="B14" s="20" t="s">
        <v>136</v>
      </c>
      <c r="C14" s="20" t="s">
        <v>137</v>
      </c>
      <c r="D14" s="20" t="s">
        <v>174</v>
      </c>
      <c r="F14" s="20" t="s">
        <v>143</v>
      </c>
      <c r="G14" s="20" t="s">
        <v>144</v>
      </c>
      <c r="H14" s="20" t="s">
        <v>175</v>
      </c>
      <c r="I14" s="20" t="s">
        <v>140</v>
      </c>
    </row>
    <row r="15" spans="1:10" s="20" customFormat="1" x14ac:dyDescent="0.25">
      <c r="A15" s="20" t="s">
        <v>176</v>
      </c>
      <c r="B15" s="20" t="s">
        <v>136</v>
      </c>
      <c r="C15" s="20" t="s">
        <v>137</v>
      </c>
      <c r="D15" s="20" t="s">
        <v>177</v>
      </c>
      <c r="F15" s="20" t="s">
        <v>178</v>
      </c>
      <c r="H15" s="20" t="s">
        <v>179</v>
      </c>
      <c r="I15" s="20" t="s">
        <v>149</v>
      </c>
    </row>
    <row r="16" spans="1:10" s="20" customFormat="1" x14ac:dyDescent="0.25">
      <c r="A16" s="20" t="s">
        <v>180</v>
      </c>
      <c r="B16" s="20" t="s">
        <v>136</v>
      </c>
      <c r="C16" s="20" t="s">
        <v>137</v>
      </c>
      <c r="D16" s="20" t="s">
        <v>48</v>
      </c>
      <c r="F16" s="30" t="s">
        <v>181</v>
      </c>
      <c r="G16" s="20" t="s">
        <v>182</v>
      </c>
      <c r="H16" s="20" t="s">
        <v>183</v>
      </c>
      <c r="I16" s="20" t="s">
        <v>140</v>
      </c>
    </row>
    <row r="17" spans="1:9" s="20" customFormat="1" x14ac:dyDescent="0.25">
      <c r="A17" s="20" t="s">
        <v>184</v>
      </c>
      <c r="B17" s="20" t="s">
        <v>136</v>
      </c>
      <c r="C17" s="20" t="s">
        <v>137</v>
      </c>
      <c r="D17" s="20" t="s">
        <v>185</v>
      </c>
      <c r="F17" s="20" t="s">
        <v>143</v>
      </c>
      <c r="G17" s="20" t="s">
        <v>144</v>
      </c>
      <c r="H17" s="20" t="s">
        <v>186</v>
      </c>
      <c r="I17" s="20" t="s">
        <v>140</v>
      </c>
    </row>
    <row r="18" spans="1:9" s="20" customFormat="1" x14ac:dyDescent="0.25">
      <c r="A18" s="20" t="s">
        <v>187</v>
      </c>
      <c r="B18" s="20" t="s">
        <v>136</v>
      </c>
      <c r="C18" s="20" t="s">
        <v>137</v>
      </c>
      <c r="D18" s="20" t="s">
        <v>188</v>
      </c>
      <c r="F18" s="20" t="s">
        <v>143</v>
      </c>
      <c r="G18" s="20" t="s">
        <v>144</v>
      </c>
      <c r="H18" s="20" t="s">
        <v>189</v>
      </c>
      <c r="I18" s="20" t="s">
        <v>140</v>
      </c>
    </row>
    <row r="19" spans="1:9" s="20" customFormat="1" x14ac:dyDescent="0.25"/>
    <row r="20" spans="1:9" s="20" customFormat="1" x14ac:dyDescent="0.25">
      <c r="A20" s="20" t="s">
        <v>190</v>
      </c>
      <c r="B20" s="20" t="s">
        <v>136</v>
      </c>
      <c r="C20" s="20" t="s">
        <v>137</v>
      </c>
      <c r="D20" s="20" t="s">
        <v>191</v>
      </c>
      <c r="F20" s="20" t="s">
        <v>143</v>
      </c>
      <c r="G20" s="20" t="s">
        <v>192</v>
      </c>
      <c r="H20" s="20" t="s">
        <v>193</v>
      </c>
      <c r="I20" s="20" t="s">
        <v>140</v>
      </c>
    </row>
    <row r="21" spans="1:9" s="20" customFormat="1" x14ac:dyDescent="0.25">
      <c r="A21" s="20" t="s">
        <v>194</v>
      </c>
      <c r="B21" s="20" t="s">
        <v>136</v>
      </c>
      <c r="C21" s="20" t="s">
        <v>137</v>
      </c>
      <c r="D21" s="20" t="s">
        <v>195</v>
      </c>
      <c r="E21" s="20" t="s">
        <v>196</v>
      </c>
      <c r="F21" s="20" t="s">
        <v>196</v>
      </c>
      <c r="G21" s="20" t="s">
        <v>197</v>
      </c>
      <c r="H21" s="20" t="s">
        <v>198</v>
      </c>
      <c r="I21" s="20" t="s">
        <v>140</v>
      </c>
    </row>
    <row r="22" spans="1:9" s="20" customFormat="1" x14ac:dyDescent="0.25">
      <c r="A22" s="20" t="s">
        <v>199</v>
      </c>
      <c r="B22" s="20" t="s">
        <v>136</v>
      </c>
      <c r="C22" s="20" t="s">
        <v>137</v>
      </c>
      <c r="D22" s="20" t="s">
        <v>200</v>
      </c>
      <c r="F22" s="20" t="s">
        <v>143</v>
      </c>
      <c r="G22" s="20" t="s">
        <v>144</v>
      </c>
      <c r="H22" s="20" t="s">
        <v>201</v>
      </c>
      <c r="I22" s="20" t="s">
        <v>140</v>
      </c>
    </row>
    <row r="23" spans="1:9" s="20" customFormat="1" x14ac:dyDescent="0.25">
      <c r="A23" s="20" t="s">
        <v>202</v>
      </c>
      <c r="B23" s="20" t="s">
        <v>136</v>
      </c>
      <c r="C23" s="20" t="s">
        <v>137</v>
      </c>
      <c r="D23" s="20" t="s">
        <v>203</v>
      </c>
      <c r="F23" s="20" t="s">
        <v>143</v>
      </c>
      <c r="G23" s="20" t="s">
        <v>144</v>
      </c>
      <c r="H23" s="20" t="s">
        <v>204</v>
      </c>
      <c r="I23" s="20" t="s">
        <v>140</v>
      </c>
    </row>
    <row r="24" spans="1:9" s="20" customFormat="1" x14ac:dyDescent="0.25">
      <c r="A24" s="20" t="s">
        <v>205</v>
      </c>
      <c r="B24" s="20" t="s">
        <v>136</v>
      </c>
      <c r="C24" s="20" t="s">
        <v>137</v>
      </c>
      <c r="D24" s="20" t="s">
        <v>203</v>
      </c>
      <c r="F24" s="20" t="s">
        <v>143</v>
      </c>
      <c r="G24" s="20" t="s">
        <v>144</v>
      </c>
      <c r="H24" s="20" t="s">
        <v>206</v>
      </c>
      <c r="I24" s="20" t="s">
        <v>140</v>
      </c>
    </row>
    <row r="25" spans="1:9" s="20" customFormat="1" x14ac:dyDescent="0.25">
      <c r="A25" s="20" t="s">
        <v>207</v>
      </c>
      <c r="B25" s="20" t="s">
        <v>136</v>
      </c>
      <c r="C25" s="20" t="s">
        <v>137</v>
      </c>
      <c r="D25" s="20" t="s">
        <v>203</v>
      </c>
      <c r="F25" s="20" t="s">
        <v>143</v>
      </c>
      <c r="G25" s="20" t="s">
        <v>144</v>
      </c>
      <c r="H25" s="20" t="s">
        <v>208</v>
      </c>
      <c r="I25" s="20" t="s">
        <v>140</v>
      </c>
    </row>
    <row r="26" spans="1:9" s="20" customFormat="1" x14ac:dyDescent="0.25"/>
    <row r="27" spans="1:9" s="20" customFormat="1" x14ac:dyDescent="0.25">
      <c r="A27" s="20" t="s">
        <v>209</v>
      </c>
      <c r="B27" s="20" t="s">
        <v>136</v>
      </c>
      <c r="C27" s="20" t="s">
        <v>137</v>
      </c>
      <c r="D27" s="20" t="s">
        <v>210</v>
      </c>
      <c r="F27" s="20" t="s">
        <v>211</v>
      </c>
      <c r="G27" s="20" t="s">
        <v>212</v>
      </c>
      <c r="H27" s="20" t="s">
        <v>213</v>
      </c>
      <c r="I27" s="20" t="s">
        <v>140</v>
      </c>
    </row>
    <row r="28" spans="1:9" s="20" customFormat="1" x14ac:dyDescent="0.25">
      <c r="A28" s="20" t="s">
        <v>214</v>
      </c>
      <c r="B28" s="20" t="s">
        <v>136</v>
      </c>
      <c r="C28" s="20" t="s">
        <v>137</v>
      </c>
      <c r="D28" s="20" t="s">
        <v>215</v>
      </c>
      <c r="F28" s="20" t="s">
        <v>216</v>
      </c>
      <c r="G28" s="20" t="s">
        <v>217</v>
      </c>
      <c r="H28" s="20" t="s">
        <v>218</v>
      </c>
      <c r="I28" s="20" t="s">
        <v>149</v>
      </c>
    </row>
    <row r="29" spans="1:9" s="20" customFormat="1" x14ac:dyDescent="0.25">
      <c r="A29" s="20" t="s">
        <v>219</v>
      </c>
      <c r="B29" s="20" t="s">
        <v>136</v>
      </c>
      <c r="C29" s="20" t="s">
        <v>137</v>
      </c>
      <c r="D29" s="20" t="s">
        <v>210</v>
      </c>
      <c r="F29" s="20" t="s">
        <v>211</v>
      </c>
      <c r="G29" s="20" t="s">
        <v>212</v>
      </c>
      <c r="H29" s="20" t="s">
        <v>220</v>
      </c>
      <c r="I29" s="20" t="s">
        <v>140</v>
      </c>
    </row>
    <row r="30" spans="1:9" s="20" customFormat="1" x14ac:dyDescent="0.25">
      <c r="A30" s="20" t="s">
        <v>221</v>
      </c>
      <c r="B30" s="20" t="s">
        <v>136</v>
      </c>
      <c r="C30" s="20" t="s">
        <v>137</v>
      </c>
      <c r="D30" s="20" t="s">
        <v>215</v>
      </c>
      <c r="F30" s="20" t="s">
        <v>216</v>
      </c>
      <c r="G30" s="20" t="s">
        <v>217</v>
      </c>
      <c r="H30" s="20" t="s">
        <v>222</v>
      </c>
      <c r="I30" s="20" t="s">
        <v>149</v>
      </c>
    </row>
    <row r="31" spans="1:9" s="20" customFormat="1" x14ac:dyDescent="0.25"/>
    <row r="32" spans="1:9" s="20" customFormat="1" x14ac:dyDescent="0.25">
      <c r="A32" s="20" t="s">
        <v>223</v>
      </c>
      <c r="B32" s="20" t="s">
        <v>136</v>
      </c>
      <c r="C32" s="20" t="s">
        <v>137</v>
      </c>
      <c r="D32" s="20" t="s">
        <v>224</v>
      </c>
      <c r="F32" s="20" t="s">
        <v>225</v>
      </c>
      <c r="G32" s="20" t="s">
        <v>226</v>
      </c>
      <c r="H32" s="20" t="s">
        <v>227</v>
      </c>
      <c r="I32" s="20" t="s">
        <v>140</v>
      </c>
    </row>
    <row r="33" spans="1:9" s="20" customFormat="1" x14ac:dyDescent="0.25">
      <c r="A33" s="20" t="s">
        <v>228</v>
      </c>
      <c r="B33" s="20" t="s">
        <v>136</v>
      </c>
      <c r="C33" s="20" t="s">
        <v>137</v>
      </c>
      <c r="D33" s="20" t="s">
        <v>229</v>
      </c>
      <c r="F33" s="20" t="s">
        <v>143</v>
      </c>
      <c r="G33" s="20" t="s">
        <v>144</v>
      </c>
      <c r="H33" s="20" t="s">
        <v>230</v>
      </c>
      <c r="I33" s="20" t="s">
        <v>140</v>
      </c>
    </row>
    <row r="34" spans="1:9" s="20" customFormat="1" x14ac:dyDescent="0.25">
      <c r="A34" s="20" t="s">
        <v>231</v>
      </c>
      <c r="B34" s="20" t="s">
        <v>136</v>
      </c>
      <c r="C34" s="20" t="s">
        <v>137</v>
      </c>
      <c r="D34" s="20" t="s">
        <v>232</v>
      </c>
      <c r="F34" s="20" t="s">
        <v>143</v>
      </c>
      <c r="G34" s="20" t="s">
        <v>144</v>
      </c>
      <c r="H34" s="20" t="s">
        <v>233</v>
      </c>
      <c r="I34" s="20" t="s">
        <v>140</v>
      </c>
    </row>
    <row r="35" spans="1:9" s="20" customFormat="1" x14ac:dyDescent="0.25">
      <c r="A35" s="20" t="s">
        <v>234</v>
      </c>
      <c r="B35" s="20" t="s">
        <v>136</v>
      </c>
      <c r="C35" s="20" t="s">
        <v>137</v>
      </c>
      <c r="D35" s="20" t="s">
        <v>235</v>
      </c>
      <c r="F35" s="20" t="s">
        <v>143</v>
      </c>
      <c r="G35" s="20" t="s">
        <v>144</v>
      </c>
      <c r="H35" s="20" t="s">
        <v>236</v>
      </c>
      <c r="I35" s="20" t="s">
        <v>140</v>
      </c>
    </row>
    <row r="36" spans="1:9" s="20" customFormat="1" x14ac:dyDescent="0.25">
      <c r="A36" s="20" t="s">
        <v>237</v>
      </c>
      <c r="B36" s="20" t="s">
        <v>136</v>
      </c>
      <c r="C36" s="20" t="s">
        <v>137</v>
      </c>
      <c r="D36" s="20" t="s">
        <v>238</v>
      </c>
      <c r="F36" s="20" t="s">
        <v>143</v>
      </c>
      <c r="G36" s="20" t="s">
        <v>144</v>
      </c>
      <c r="H36" s="20" t="s">
        <v>239</v>
      </c>
      <c r="I36" s="20" t="s">
        <v>149</v>
      </c>
    </row>
    <row r="37" spans="1:9" s="20" customFormat="1" x14ac:dyDescent="0.25">
      <c r="A37" s="20" t="s">
        <v>240</v>
      </c>
      <c r="B37" s="20" t="s">
        <v>136</v>
      </c>
      <c r="C37" s="20" t="s">
        <v>137</v>
      </c>
      <c r="D37" s="20">
        <v>2027</v>
      </c>
      <c r="F37" s="20" t="s">
        <v>241</v>
      </c>
      <c r="G37" s="20" t="s">
        <v>242</v>
      </c>
      <c r="H37" s="20" t="s">
        <v>243</v>
      </c>
      <c r="I37" s="20" t="s">
        <v>140</v>
      </c>
    </row>
    <row r="38" spans="1:9" s="20" customFormat="1" x14ac:dyDescent="0.25">
      <c r="A38" s="20" t="s">
        <v>244</v>
      </c>
      <c r="B38" s="20" t="s">
        <v>136</v>
      </c>
      <c r="C38" s="20" t="s">
        <v>137</v>
      </c>
      <c r="D38" s="20" t="s">
        <v>245</v>
      </c>
      <c r="F38" s="20" t="s">
        <v>211</v>
      </c>
      <c r="G38" s="20" t="s">
        <v>212</v>
      </c>
      <c r="H38" s="20" t="s">
        <v>246</v>
      </c>
      <c r="I38" s="20" t="s">
        <v>140</v>
      </c>
    </row>
    <row r="39" spans="1:9" s="20" customFormat="1" x14ac:dyDescent="0.25">
      <c r="A39" s="20" t="s">
        <v>247</v>
      </c>
      <c r="B39" s="20" t="s">
        <v>136</v>
      </c>
      <c r="C39" s="20" t="s">
        <v>137</v>
      </c>
      <c r="D39" s="20" t="s">
        <v>215</v>
      </c>
      <c r="F39" s="20" t="s">
        <v>216</v>
      </c>
      <c r="G39" s="20" t="s">
        <v>217</v>
      </c>
      <c r="H39" s="20" t="s">
        <v>248</v>
      </c>
      <c r="I39" s="20" t="s">
        <v>140</v>
      </c>
    </row>
    <row r="40" spans="1:9" s="20" customFormat="1" x14ac:dyDescent="0.25">
      <c r="A40" s="20" t="s">
        <v>249</v>
      </c>
      <c r="B40" s="20" t="s">
        <v>136</v>
      </c>
      <c r="C40" s="20" t="s">
        <v>137</v>
      </c>
      <c r="F40" s="20" t="s">
        <v>143</v>
      </c>
      <c r="G40" s="20" t="s">
        <v>250</v>
      </c>
      <c r="H40" s="20" t="s">
        <v>251</v>
      </c>
      <c r="I40" s="20" t="s">
        <v>149</v>
      </c>
    </row>
    <row r="41" spans="1:9" s="20" customFormat="1" x14ac:dyDescent="0.25">
      <c r="A41" s="20" t="s">
        <v>252</v>
      </c>
      <c r="B41" s="20" t="s">
        <v>136</v>
      </c>
      <c r="C41" s="20" t="s">
        <v>137</v>
      </c>
      <c r="D41" s="20" t="s">
        <v>253</v>
      </c>
      <c r="F41" s="20" t="s">
        <v>143</v>
      </c>
      <c r="G41" s="20" t="s">
        <v>144</v>
      </c>
      <c r="H41" s="20" t="s">
        <v>254</v>
      </c>
      <c r="I41" s="20" t="s">
        <v>149</v>
      </c>
    </row>
    <row r="42" spans="1:9" s="20" customFormat="1" x14ac:dyDescent="0.25">
      <c r="I42" s="20" t="s">
        <v>140</v>
      </c>
    </row>
    <row r="43" spans="1:9" s="20" customFormat="1" x14ac:dyDescent="0.25">
      <c r="A43" s="20" t="s">
        <v>255</v>
      </c>
      <c r="B43" s="20" t="s">
        <v>136</v>
      </c>
      <c r="C43" s="20" t="s">
        <v>137</v>
      </c>
      <c r="D43" s="20" t="s">
        <v>256</v>
      </c>
      <c r="F43" s="20" t="s">
        <v>143</v>
      </c>
      <c r="G43" s="20" t="s">
        <v>144</v>
      </c>
      <c r="H43" s="20" t="s">
        <v>257</v>
      </c>
      <c r="I43" s="20" t="s">
        <v>149</v>
      </c>
    </row>
    <row r="49" spans="1:7" x14ac:dyDescent="0.25">
      <c r="A49" s="5"/>
      <c r="F49" s="6" t="s">
        <v>178</v>
      </c>
      <c r="G49" s="6"/>
    </row>
    <row r="50" spans="1:7" x14ac:dyDescent="0.25">
      <c r="A50" s="5"/>
      <c r="B50" s="5"/>
      <c r="F50" t="s">
        <v>258</v>
      </c>
    </row>
    <row r="51" spans="1:7" x14ac:dyDescent="0.25">
      <c r="A51" s="5"/>
      <c r="B51" s="5"/>
      <c r="F51" t="s">
        <v>177</v>
      </c>
    </row>
    <row r="52" spans="1:7" x14ac:dyDescent="0.25">
      <c r="A52" s="5"/>
      <c r="B52" s="5"/>
      <c r="F52" t="s">
        <v>259</v>
      </c>
    </row>
    <row r="53" spans="1:7" x14ac:dyDescent="0.25">
      <c r="A53" s="5"/>
      <c r="B53" s="5"/>
      <c r="F53" t="s">
        <v>260</v>
      </c>
    </row>
    <row r="54" spans="1:7" x14ac:dyDescent="0.25">
      <c r="A54" s="5"/>
      <c r="F54" t="s">
        <v>261</v>
      </c>
    </row>
    <row r="55" spans="1:7" x14ac:dyDescent="0.25">
      <c r="F55" t="s">
        <v>262</v>
      </c>
    </row>
    <row r="56" spans="1:7" x14ac:dyDescent="0.25">
      <c r="A56" s="5"/>
    </row>
    <row r="74" spans="1:3" x14ac:dyDescent="0.25">
      <c r="A74" s="21"/>
      <c r="B74" s="9"/>
      <c r="C74" s="9"/>
    </row>
  </sheetData>
  <conditionalFormatting sqref="A3:I12 A13:D13 F13:I13 A14:I15 A16:F16 H16:I16 A17:I43">
    <cfRule type="expression" dxfId="53" priority="3">
      <formula>$I3="Grå"</formula>
    </cfRule>
    <cfRule type="expression" dxfId="52" priority="4">
      <formula>$I3="Svart"</formula>
    </cfRule>
  </conditionalFormatting>
  <conditionalFormatting sqref="G16">
    <cfRule type="expression" dxfId="51" priority="1">
      <formula>$I16="Grå"</formula>
    </cfRule>
    <cfRule type="expression" dxfId="50" priority="2">
      <formula>$I16="Svart"</formula>
    </cfRule>
  </conditionalFormatting>
  <hyperlinks>
    <hyperlink ref="F16" location="'Oversikt'!E23:E65" display="[Se Oversikt]" xr:uid="{A2184CA7-0218-42BE-BDF9-F15292A46377}"/>
  </hyperlinks>
  <pageMargins left="0.7" right="0.7" top="0.75" bottom="0.75" header="0.3" footer="0.3"/>
  <pageSetup paperSize="9" orientation="portrait" horizontalDpi="300" verticalDpi="0" r:id="rId1"/>
  <ignoredErrors>
    <ignoredError sqref="D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7B24-B0D3-4B07-9179-4EF83B4B8654}">
  <sheetPr>
    <tabColor rgb="FF0641B6"/>
  </sheetPr>
  <dimension ref="A1:I43"/>
  <sheetViews>
    <sheetView zoomScaleNormal="100" workbookViewId="0">
      <selection activeCell="A3" sqref="A3:XFD17"/>
    </sheetView>
  </sheetViews>
  <sheetFormatPr defaultColWidth="9.140625" defaultRowHeight="15" x14ac:dyDescent="0.25"/>
  <cols>
    <col min="1" max="1" width="34.28515625" customWidth="1"/>
    <col min="2" max="2" width="9" bestFit="1" customWidth="1"/>
    <col min="3" max="3" width="10.5703125" bestFit="1" customWidth="1"/>
    <col min="4" max="4" width="45.7109375" bestFit="1" customWidth="1"/>
    <col min="5" max="6" width="45.7109375" customWidth="1"/>
    <col min="7" max="7" width="33.85546875" customWidth="1"/>
    <col min="8" max="8" width="103.28515625" bestFit="1" customWidth="1"/>
  </cols>
  <sheetData>
    <row r="1" spans="1:9" ht="21" x14ac:dyDescent="0.35">
      <c r="A1" s="2" t="s">
        <v>263</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264</v>
      </c>
      <c r="B3" s="20" t="s">
        <v>136</v>
      </c>
      <c r="C3" s="20" t="s">
        <v>265</v>
      </c>
      <c r="D3" s="20" t="s">
        <v>266</v>
      </c>
      <c r="F3" s="20" t="s">
        <v>143</v>
      </c>
      <c r="G3" s="20" t="s">
        <v>144</v>
      </c>
      <c r="H3" s="20" t="s">
        <v>267</v>
      </c>
      <c r="I3" s="20" t="s">
        <v>149</v>
      </c>
    </row>
    <row r="4" spans="1:9" s="20" customFormat="1" x14ac:dyDescent="0.25">
      <c r="A4" s="20" t="s">
        <v>268</v>
      </c>
      <c r="B4" s="20" t="s">
        <v>136</v>
      </c>
      <c r="C4" s="20" t="s">
        <v>265</v>
      </c>
      <c r="D4" s="20" t="s">
        <v>269</v>
      </c>
      <c r="F4" s="20" t="s">
        <v>143</v>
      </c>
      <c r="G4" s="20" t="s">
        <v>144</v>
      </c>
      <c r="H4" s="20" t="s">
        <v>270</v>
      </c>
      <c r="I4" s="20" t="s">
        <v>149</v>
      </c>
    </row>
    <row r="5" spans="1:9" s="20" customFormat="1" x14ac:dyDescent="0.25">
      <c r="A5" s="20" t="s">
        <v>271</v>
      </c>
      <c r="B5" s="20" t="s">
        <v>136</v>
      </c>
      <c r="C5" s="20" t="s">
        <v>265</v>
      </c>
      <c r="D5" s="20" t="s">
        <v>272</v>
      </c>
      <c r="F5" s="20" t="s">
        <v>143</v>
      </c>
      <c r="G5" s="20" t="s">
        <v>144</v>
      </c>
      <c r="H5" s="20" t="s">
        <v>273</v>
      </c>
      <c r="I5" s="20" t="s">
        <v>149</v>
      </c>
    </row>
    <row r="6" spans="1:9" s="20" customFormat="1" x14ac:dyDescent="0.25">
      <c r="A6" s="20" t="s">
        <v>274</v>
      </c>
      <c r="B6" s="20" t="s">
        <v>136</v>
      </c>
      <c r="C6" s="20" t="s">
        <v>265</v>
      </c>
      <c r="D6" s="20" t="s">
        <v>275</v>
      </c>
      <c r="E6" s="20" t="s">
        <v>276</v>
      </c>
      <c r="F6" s="20" t="s">
        <v>277</v>
      </c>
      <c r="G6" s="20" t="s">
        <v>278</v>
      </c>
      <c r="H6" s="20" t="s">
        <v>279</v>
      </c>
      <c r="I6" s="20" t="s">
        <v>140</v>
      </c>
    </row>
    <row r="7" spans="1:9" s="20" customFormat="1" x14ac:dyDescent="0.25">
      <c r="A7" s="20" t="s">
        <v>280</v>
      </c>
      <c r="B7" s="20" t="s">
        <v>136</v>
      </c>
      <c r="C7" s="20" t="s">
        <v>265</v>
      </c>
      <c r="D7" s="20" t="s">
        <v>281</v>
      </c>
      <c r="H7" s="20" t="s">
        <v>282</v>
      </c>
      <c r="I7" s="20" t="s">
        <v>140</v>
      </c>
    </row>
    <row r="8" spans="1:9" s="20" customFormat="1" x14ac:dyDescent="0.25">
      <c r="A8" s="20" t="s">
        <v>283</v>
      </c>
      <c r="B8" s="20" t="s">
        <v>136</v>
      </c>
      <c r="C8" s="20" t="s">
        <v>265</v>
      </c>
      <c r="D8" s="20" t="s">
        <v>48</v>
      </c>
      <c r="F8" s="30" t="s">
        <v>284</v>
      </c>
      <c r="G8" s="20" t="s">
        <v>182</v>
      </c>
      <c r="H8" s="20" t="s">
        <v>285</v>
      </c>
      <c r="I8" s="20" t="s">
        <v>140</v>
      </c>
    </row>
    <row r="9" spans="1:9" s="20" customFormat="1" x14ac:dyDescent="0.25">
      <c r="A9" s="20" t="s">
        <v>286</v>
      </c>
      <c r="B9" s="20" t="s">
        <v>136</v>
      </c>
      <c r="C9" s="20" t="s">
        <v>265</v>
      </c>
      <c r="D9" s="20" t="s">
        <v>287</v>
      </c>
      <c r="F9" s="20" t="s">
        <v>143</v>
      </c>
      <c r="G9" s="20" t="s">
        <v>192</v>
      </c>
      <c r="H9" s="20" t="s">
        <v>288</v>
      </c>
      <c r="I9" s="20" t="s">
        <v>140</v>
      </c>
    </row>
    <row r="10" spans="1:9" s="20" customFormat="1" x14ac:dyDescent="0.25">
      <c r="A10" s="20" t="s">
        <v>289</v>
      </c>
      <c r="B10" s="20" t="s">
        <v>136</v>
      </c>
      <c r="C10" s="20" t="s">
        <v>265</v>
      </c>
      <c r="D10" s="20" t="s">
        <v>290</v>
      </c>
      <c r="F10" s="20" t="s">
        <v>196</v>
      </c>
      <c r="G10" s="20" t="s">
        <v>197</v>
      </c>
      <c r="H10" s="20" t="s">
        <v>291</v>
      </c>
      <c r="I10" s="20" t="s">
        <v>140</v>
      </c>
    </row>
    <row r="11" spans="1:9" s="20" customFormat="1" x14ac:dyDescent="0.25">
      <c r="A11" s="20" t="s">
        <v>292</v>
      </c>
      <c r="B11" s="20" t="s">
        <v>136</v>
      </c>
      <c r="C11" s="20" t="s">
        <v>265</v>
      </c>
      <c r="D11" s="20" t="s">
        <v>293</v>
      </c>
      <c r="F11" s="20" t="s">
        <v>143</v>
      </c>
      <c r="G11" s="20" t="s">
        <v>144</v>
      </c>
      <c r="H11" s="20" t="s">
        <v>294</v>
      </c>
      <c r="I11" s="20" t="s">
        <v>149</v>
      </c>
    </row>
    <row r="12" spans="1:9" s="20" customFormat="1" x14ac:dyDescent="0.25"/>
    <row r="13" spans="1:9" s="20" customFormat="1" x14ac:dyDescent="0.25">
      <c r="A13" s="20" t="s">
        <v>295</v>
      </c>
      <c r="B13" s="20" t="s">
        <v>136</v>
      </c>
      <c r="C13" s="20" t="s">
        <v>265</v>
      </c>
      <c r="D13" s="20" t="s">
        <v>296</v>
      </c>
      <c r="F13" s="20" t="s">
        <v>143</v>
      </c>
      <c r="G13" s="20" t="s">
        <v>144</v>
      </c>
      <c r="H13" s="20" t="s">
        <v>297</v>
      </c>
      <c r="I13" s="20" t="s">
        <v>149</v>
      </c>
    </row>
    <row r="14" spans="1:9" s="20" customFormat="1" x14ac:dyDescent="0.25">
      <c r="A14" s="20" t="s">
        <v>298</v>
      </c>
      <c r="B14" s="20" t="s">
        <v>136</v>
      </c>
      <c r="C14" s="20" t="s">
        <v>265</v>
      </c>
      <c r="D14" s="20" t="s">
        <v>299</v>
      </c>
      <c r="F14" s="20" t="s">
        <v>143</v>
      </c>
      <c r="G14" s="20" t="s">
        <v>144</v>
      </c>
      <c r="H14" s="20" t="s">
        <v>300</v>
      </c>
      <c r="I14" s="20" t="s">
        <v>149</v>
      </c>
    </row>
    <row r="15" spans="1:9" s="20" customFormat="1" x14ac:dyDescent="0.25">
      <c r="A15" s="20" t="s">
        <v>301</v>
      </c>
      <c r="B15" s="20" t="s">
        <v>136</v>
      </c>
      <c r="C15" s="20" t="s">
        <v>265</v>
      </c>
      <c r="D15" s="20" t="s">
        <v>302</v>
      </c>
      <c r="F15" s="20" t="s">
        <v>143</v>
      </c>
      <c r="G15" s="20" t="s">
        <v>144</v>
      </c>
      <c r="H15" s="20" t="s">
        <v>303</v>
      </c>
      <c r="I15" s="20" t="s">
        <v>149</v>
      </c>
    </row>
    <row r="16" spans="1:9" s="20" customFormat="1" x14ac:dyDescent="0.25"/>
    <row r="17" spans="1:9" s="20" customFormat="1" x14ac:dyDescent="0.25">
      <c r="A17" s="20" t="s">
        <v>304</v>
      </c>
      <c r="B17" s="20" t="s">
        <v>136</v>
      </c>
      <c r="C17" s="20" t="s">
        <v>265</v>
      </c>
      <c r="D17" s="20" t="s">
        <v>305</v>
      </c>
      <c r="E17" s="20" t="s">
        <v>306</v>
      </c>
      <c r="F17" s="20" t="s">
        <v>143</v>
      </c>
      <c r="G17" s="20" t="s">
        <v>307</v>
      </c>
      <c r="H17" s="20" t="s">
        <v>308</v>
      </c>
      <c r="I17" s="20" t="s">
        <v>149</v>
      </c>
    </row>
    <row r="18" spans="1:9" x14ac:dyDescent="0.25">
      <c r="I18" s="4"/>
    </row>
    <row r="19" spans="1:9" ht="15" customHeight="1" x14ac:dyDescent="0.25">
      <c r="I19" s="4"/>
    </row>
    <row r="20" spans="1:9" x14ac:dyDescent="0.25">
      <c r="I20" s="4"/>
    </row>
    <row r="21" spans="1:9" x14ac:dyDescent="0.25">
      <c r="F21" s="6"/>
      <c r="G21" s="6"/>
      <c r="H21" s="6"/>
      <c r="I21" s="4"/>
    </row>
    <row r="22" spans="1:9" x14ac:dyDescent="0.25">
      <c r="F22" s="1"/>
      <c r="G22" s="27"/>
      <c r="I22" s="4"/>
    </row>
    <row r="23" spans="1:9" x14ac:dyDescent="0.25">
      <c r="F23" s="1"/>
      <c r="I23" s="4"/>
    </row>
    <row r="24" spans="1:9" x14ac:dyDescent="0.25">
      <c r="F24" s="1"/>
      <c r="I24" s="4"/>
    </row>
    <row r="25" spans="1:9" x14ac:dyDescent="0.25">
      <c r="F25" s="1"/>
      <c r="I25" s="4"/>
    </row>
    <row r="26" spans="1:9" x14ac:dyDescent="0.25">
      <c r="F26" s="1"/>
      <c r="I26" s="4"/>
    </row>
    <row r="27" spans="1:9" x14ac:dyDescent="0.25">
      <c r="F27" s="1"/>
      <c r="I27" s="4"/>
    </row>
    <row r="28" spans="1:9" x14ac:dyDescent="0.25">
      <c r="F28" s="1"/>
      <c r="I28" s="4"/>
    </row>
    <row r="29" spans="1:9" x14ac:dyDescent="0.25">
      <c r="F29" s="1"/>
      <c r="I29" s="4"/>
    </row>
    <row r="30" spans="1:9" x14ac:dyDescent="0.25">
      <c r="I30" s="4"/>
    </row>
    <row r="31" spans="1:9" x14ac:dyDescent="0.25">
      <c r="I31" s="4"/>
    </row>
    <row r="32" spans="1:9" x14ac:dyDescent="0.25">
      <c r="I32" s="4"/>
    </row>
    <row r="33" spans="9:9" x14ac:dyDescent="0.25">
      <c r="I33" s="4"/>
    </row>
    <row r="34" spans="9:9" x14ac:dyDescent="0.25">
      <c r="I34" s="4"/>
    </row>
    <row r="35" spans="9:9" x14ac:dyDescent="0.25">
      <c r="I35" s="4"/>
    </row>
    <row r="36" spans="9:9" x14ac:dyDescent="0.25">
      <c r="I36" s="4"/>
    </row>
    <row r="37" spans="9:9" x14ac:dyDescent="0.25">
      <c r="I37" s="4"/>
    </row>
    <row r="38" spans="9:9" x14ac:dyDescent="0.25">
      <c r="I38" s="4"/>
    </row>
    <row r="39" spans="9:9" x14ac:dyDescent="0.25">
      <c r="I39" s="4"/>
    </row>
    <row r="40" spans="9:9" x14ac:dyDescent="0.25">
      <c r="I40" s="4"/>
    </row>
    <row r="41" spans="9:9" x14ac:dyDescent="0.25">
      <c r="I41" s="4"/>
    </row>
    <row r="42" spans="9:9" x14ac:dyDescent="0.25">
      <c r="I42" s="4"/>
    </row>
    <row r="43" spans="9:9" x14ac:dyDescent="0.25">
      <c r="I43" s="4"/>
    </row>
  </sheetData>
  <conditionalFormatting sqref="A3:I7 A8:D8 F8:I8 A9:I17">
    <cfRule type="expression" dxfId="49" priority="6">
      <formula>$I3="Svart"</formula>
    </cfRule>
  </conditionalFormatting>
  <conditionalFormatting sqref="A3:I7 F8:I8 A9:I17 A8:D8">
    <cfRule type="expression" dxfId="48" priority="5">
      <formula>$I3="Grå"</formula>
    </cfRule>
  </conditionalFormatting>
  <conditionalFormatting sqref="C3:C17">
    <cfRule type="expression" dxfId="47" priority="1">
      <formula>$I3="Grå"</formula>
    </cfRule>
    <cfRule type="expression" dxfId="46" priority="2">
      <formula>$I3="Grønn"</formula>
    </cfRule>
  </conditionalFormatting>
  <conditionalFormatting sqref="I4:I43">
    <cfRule type="expression" dxfId="45" priority="3">
      <formula>$I4="Grå"</formula>
    </cfRule>
    <cfRule type="expression" dxfId="44" priority="4">
      <formula>$I4="Grønn"</formula>
    </cfRule>
  </conditionalFormatting>
  <hyperlinks>
    <hyperlink ref="F8" location="'Oversikt'!E23:E65" display="[se Oversikt]" xr:uid="{73D29DD6-D90A-4BB8-9CF3-08ACB759079F}"/>
  </hyperlinks>
  <pageMargins left="0.7" right="0.7" top="0.75" bottom="0.75" header="0.3" footer="0.3"/>
  <pageSetup paperSize="9" orientation="portrait" horizontalDpi="3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1693D-19DD-42EF-A136-B1B436DC26DF}">
  <sheetPr>
    <tabColor rgb="FF0641B6"/>
  </sheetPr>
  <dimension ref="A1:J43"/>
  <sheetViews>
    <sheetView zoomScaleNormal="100" workbookViewId="0">
      <selection activeCell="H27" sqref="H27"/>
    </sheetView>
  </sheetViews>
  <sheetFormatPr defaultColWidth="9.140625" defaultRowHeight="15" x14ac:dyDescent="0.25"/>
  <cols>
    <col min="1" max="1" width="37.28515625" bestFit="1" customWidth="1"/>
    <col min="3" max="3" width="12.85546875" customWidth="1"/>
    <col min="4" max="5" width="44.140625" customWidth="1"/>
    <col min="6" max="7" width="37.140625" customWidth="1"/>
    <col min="8" max="8" width="119.28515625" bestFit="1" customWidth="1"/>
  </cols>
  <sheetData>
    <row r="1" spans="1:10" ht="21" x14ac:dyDescent="0.35">
      <c r="A1" s="2" t="s">
        <v>38</v>
      </c>
    </row>
    <row r="2" spans="1:10" x14ac:dyDescent="0.25">
      <c r="A2" s="3" t="s">
        <v>32</v>
      </c>
      <c r="B2" s="3" t="s">
        <v>36</v>
      </c>
      <c r="C2" s="3" t="s">
        <v>40</v>
      </c>
      <c r="D2" s="3" t="s">
        <v>44</v>
      </c>
      <c r="E2" s="3" t="s">
        <v>49</v>
      </c>
      <c r="F2" s="3" t="s">
        <v>53</v>
      </c>
      <c r="G2" s="3" t="s">
        <v>57</v>
      </c>
      <c r="H2" s="3" t="s">
        <v>61</v>
      </c>
      <c r="I2" s="3" t="s">
        <v>65</v>
      </c>
      <c r="J2" s="9"/>
    </row>
    <row r="3" spans="1:10" s="20" customFormat="1" ht="15" customHeight="1" x14ac:dyDescent="0.25">
      <c r="A3" s="20" t="s">
        <v>309</v>
      </c>
      <c r="B3" s="20" t="s">
        <v>136</v>
      </c>
      <c r="C3" s="20" t="s">
        <v>265</v>
      </c>
      <c r="D3" s="20" t="s">
        <v>310</v>
      </c>
      <c r="F3" s="20" t="s">
        <v>143</v>
      </c>
      <c r="H3" s="20" t="s">
        <v>311</v>
      </c>
      <c r="I3" s="20" t="s">
        <v>149</v>
      </c>
    </row>
    <row r="4" spans="1:10" s="20" customFormat="1" ht="15" customHeight="1" x14ac:dyDescent="0.25">
      <c r="A4" s="20" t="s">
        <v>312</v>
      </c>
      <c r="B4" s="20" t="s">
        <v>136</v>
      </c>
      <c r="C4" s="20" t="s">
        <v>265</v>
      </c>
      <c r="D4" s="20" t="s">
        <v>313</v>
      </c>
      <c r="F4" s="20" t="s">
        <v>143</v>
      </c>
      <c r="H4" s="20" t="s">
        <v>314</v>
      </c>
      <c r="I4" s="20" t="s">
        <v>149</v>
      </c>
    </row>
    <row r="5" spans="1:10" s="20" customFormat="1" ht="15" customHeight="1" x14ac:dyDescent="0.25">
      <c r="A5" s="20" t="s">
        <v>315</v>
      </c>
      <c r="B5" s="20" t="s">
        <v>136</v>
      </c>
      <c r="C5" s="20" t="s">
        <v>265</v>
      </c>
      <c r="D5" s="20" t="s">
        <v>316</v>
      </c>
      <c r="F5" s="20" t="s">
        <v>143</v>
      </c>
      <c r="H5" s="20" t="s">
        <v>317</v>
      </c>
      <c r="I5" s="20" t="s">
        <v>149</v>
      </c>
    </row>
    <row r="6" spans="1:10" s="20" customFormat="1" ht="15" customHeight="1" x14ac:dyDescent="0.25">
      <c r="A6" s="20" t="s">
        <v>318</v>
      </c>
      <c r="B6" s="20" t="s">
        <v>136</v>
      </c>
      <c r="C6" s="20" t="s">
        <v>265</v>
      </c>
      <c r="D6" s="20" t="s">
        <v>319</v>
      </c>
      <c r="F6" s="20" t="s">
        <v>143</v>
      </c>
      <c r="H6" s="20" t="s">
        <v>320</v>
      </c>
      <c r="I6" s="20" t="s">
        <v>149</v>
      </c>
    </row>
    <row r="7" spans="1:10" s="20" customFormat="1" ht="15" customHeight="1" x14ac:dyDescent="0.25">
      <c r="A7" s="20" t="s">
        <v>321</v>
      </c>
      <c r="B7" s="20" t="s">
        <v>136</v>
      </c>
      <c r="C7" s="20" t="s">
        <v>265</v>
      </c>
      <c r="H7" s="20" t="s">
        <v>322</v>
      </c>
      <c r="I7" s="20" t="s">
        <v>149</v>
      </c>
    </row>
    <row r="8" spans="1:10" s="20" customFormat="1" ht="15" customHeight="1" x14ac:dyDescent="0.25"/>
    <row r="9" spans="1:10" s="20" customFormat="1" ht="15" customHeight="1" x14ac:dyDescent="0.25">
      <c r="A9" s="20" t="s">
        <v>323</v>
      </c>
      <c r="B9" s="20" t="s">
        <v>136</v>
      </c>
      <c r="C9" s="20" t="s">
        <v>265</v>
      </c>
      <c r="F9" s="20" t="s">
        <v>143</v>
      </c>
      <c r="I9" s="20" t="s">
        <v>149</v>
      </c>
    </row>
    <row r="10" spans="1:10" s="20" customFormat="1" ht="15" customHeight="1" x14ac:dyDescent="0.25">
      <c r="A10" s="20" t="s">
        <v>324</v>
      </c>
      <c r="B10" s="20" t="s">
        <v>136</v>
      </c>
      <c r="C10" s="20" t="s">
        <v>265</v>
      </c>
      <c r="F10" s="20" t="s">
        <v>143</v>
      </c>
      <c r="I10" s="20" t="s">
        <v>149</v>
      </c>
    </row>
    <row r="11" spans="1:10" s="20" customFormat="1" ht="15" customHeight="1" x14ac:dyDescent="0.25">
      <c r="A11" s="20" t="s">
        <v>325</v>
      </c>
      <c r="B11" s="20" t="s">
        <v>136</v>
      </c>
      <c r="C11" s="20" t="s">
        <v>265</v>
      </c>
      <c r="F11" s="20" t="s">
        <v>143</v>
      </c>
      <c r="I11" s="20" t="s">
        <v>149</v>
      </c>
    </row>
    <row r="12" spans="1:10" s="20" customFormat="1" ht="15" customHeight="1" x14ac:dyDescent="0.25">
      <c r="A12" s="20" t="s">
        <v>326</v>
      </c>
      <c r="B12" s="20" t="s">
        <v>136</v>
      </c>
      <c r="C12" s="20" t="s">
        <v>265</v>
      </c>
      <c r="F12" s="20" t="s">
        <v>143</v>
      </c>
      <c r="I12" s="20" t="s">
        <v>149</v>
      </c>
    </row>
    <row r="13" spans="1:10" s="20" customFormat="1" ht="15" customHeight="1" x14ac:dyDescent="0.25">
      <c r="A13" s="20" t="s">
        <v>327</v>
      </c>
      <c r="B13" s="20" t="s">
        <v>136</v>
      </c>
      <c r="C13" s="20" t="s">
        <v>265</v>
      </c>
      <c r="F13" s="20" t="s">
        <v>143</v>
      </c>
      <c r="I13" s="20" t="s">
        <v>149</v>
      </c>
    </row>
    <row r="14" spans="1:10" s="20" customFormat="1" ht="15" customHeight="1" x14ac:dyDescent="0.25">
      <c r="A14" s="20" t="s">
        <v>328</v>
      </c>
      <c r="B14" s="20" t="s">
        <v>136</v>
      </c>
      <c r="C14" s="20" t="s">
        <v>265</v>
      </c>
      <c r="F14" s="20" t="s">
        <v>143</v>
      </c>
      <c r="I14" s="20" t="s">
        <v>149</v>
      </c>
    </row>
    <row r="15" spans="1:10" s="20" customFormat="1" ht="15" customHeight="1" x14ac:dyDescent="0.25">
      <c r="A15" s="20" t="s">
        <v>329</v>
      </c>
      <c r="B15" s="20" t="s">
        <v>136</v>
      </c>
      <c r="C15" s="20" t="s">
        <v>265</v>
      </c>
      <c r="F15" s="20" t="s">
        <v>143</v>
      </c>
      <c r="I15" s="20" t="s">
        <v>149</v>
      </c>
    </row>
    <row r="16" spans="1:10" s="20" customFormat="1" ht="15" customHeight="1" x14ac:dyDescent="0.25"/>
    <row r="17" spans="1:9" s="20" customFormat="1" ht="15" customHeight="1" x14ac:dyDescent="0.25">
      <c r="A17" s="20" t="s">
        <v>330</v>
      </c>
      <c r="B17" s="20" t="s">
        <v>331</v>
      </c>
      <c r="C17" s="20" t="s">
        <v>265</v>
      </c>
      <c r="D17" s="20">
        <v>123.45</v>
      </c>
      <c r="F17" s="20" t="s">
        <v>143</v>
      </c>
      <c r="H17" s="20" t="s">
        <v>332</v>
      </c>
      <c r="I17" s="20" t="s">
        <v>149</v>
      </c>
    </row>
    <row r="18" spans="1:9" s="20" customFormat="1" ht="15" customHeight="1" x14ac:dyDescent="0.25">
      <c r="A18" s="20" t="s">
        <v>333</v>
      </c>
      <c r="B18" s="20" t="s">
        <v>136</v>
      </c>
      <c r="C18" s="20" t="s">
        <v>265</v>
      </c>
      <c r="D18" s="20" t="s">
        <v>334</v>
      </c>
      <c r="F18" s="20" t="s">
        <v>143</v>
      </c>
      <c r="H18" s="20" t="s">
        <v>335</v>
      </c>
      <c r="I18" s="20" t="s">
        <v>149</v>
      </c>
    </row>
    <row r="19" spans="1:9" s="20" customFormat="1" ht="15" customHeight="1" x14ac:dyDescent="0.25">
      <c r="A19" s="20" t="s">
        <v>336</v>
      </c>
      <c r="B19" s="20" t="s">
        <v>331</v>
      </c>
      <c r="C19" s="20" t="s">
        <v>265</v>
      </c>
      <c r="D19" s="20">
        <v>1.1499999999999999</v>
      </c>
      <c r="F19" s="20" t="s">
        <v>143</v>
      </c>
      <c r="H19" s="20" t="s">
        <v>337</v>
      </c>
      <c r="I19" s="20" t="s">
        <v>149</v>
      </c>
    </row>
    <row r="20" spans="1:9" s="20" customFormat="1" ht="15" customHeight="1" x14ac:dyDescent="0.25">
      <c r="I20" s="20" t="s">
        <v>149</v>
      </c>
    </row>
    <row r="21" spans="1:9" s="20" customFormat="1" ht="33.75" customHeight="1" x14ac:dyDescent="0.25">
      <c r="A21" s="20" t="s">
        <v>338</v>
      </c>
      <c r="B21" s="20" t="s">
        <v>136</v>
      </c>
      <c r="C21" s="20" t="s">
        <v>265</v>
      </c>
      <c r="D21" s="20" t="s">
        <v>339</v>
      </c>
      <c r="F21" s="20" t="s">
        <v>143</v>
      </c>
      <c r="H21" s="20" t="s">
        <v>340</v>
      </c>
      <c r="I21" s="20" t="s">
        <v>149</v>
      </c>
    </row>
    <row r="22" spans="1:9" s="20" customFormat="1" ht="33.75" customHeight="1" x14ac:dyDescent="0.25">
      <c r="A22" s="20" t="s">
        <v>341</v>
      </c>
      <c r="B22" s="20" t="s">
        <v>136</v>
      </c>
      <c r="C22" s="20" t="s">
        <v>265</v>
      </c>
      <c r="I22" s="20" t="s">
        <v>149</v>
      </c>
    </row>
    <row r="23" spans="1:9" s="20" customFormat="1" x14ac:dyDescent="0.25"/>
    <row r="24" spans="1:9" s="20" customFormat="1" x14ac:dyDescent="0.25">
      <c r="A24" s="20" t="s">
        <v>342</v>
      </c>
      <c r="B24" s="20" t="s">
        <v>331</v>
      </c>
      <c r="C24" s="20" t="s">
        <v>265</v>
      </c>
      <c r="D24" s="20">
        <v>1.8799999999999999E-4</v>
      </c>
      <c r="F24" s="20" t="s">
        <v>143</v>
      </c>
      <c r="H24" s="20" t="s">
        <v>343</v>
      </c>
      <c r="I24" s="20" t="s">
        <v>149</v>
      </c>
    </row>
    <row r="25" spans="1:9" s="20" customFormat="1" x14ac:dyDescent="0.25">
      <c r="A25" s="20" t="s">
        <v>344</v>
      </c>
      <c r="B25" s="20" t="s">
        <v>136</v>
      </c>
      <c r="C25" s="20" t="s">
        <v>265</v>
      </c>
      <c r="D25" s="20" t="s">
        <v>345</v>
      </c>
      <c r="F25" s="20" t="s">
        <v>346</v>
      </c>
      <c r="G25" s="20" t="s">
        <v>347</v>
      </c>
      <c r="H25" s="20" t="s">
        <v>348</v>
      </c>
      <c r="I25" s="20" t="s">
        <v>149</v>
      </c>
    </row>
    <row r="26" spans="1:9" s="20" customFormat="1" x14ac:dyDescent="0.25">
      <c r="A26" s="20" t="s">
        <v>349</v>
      </c>
      <c r="B26" s="20" t="s">
        <v>331</v>
      </c>
      <c r="C26" s="20" t="s">
        <v>265</v>
      </c>
      <c r="D26" s="20">
        <v>0.41899999999999998</v>
      </c>
      <c r="F26" s="20" t="s">
        <v>143</v>
      </c>
      <c r="H26" s="20" t="s">
        <v>350</v>
      </c>
      <c r="I26" s="20" t="s">
        <v>149</v>
      </c>
    </row>
    <row r="27" spans="1:9" s="20" customFormat="1" x14ac:dyDescent="0.25">
      <c r="I27" s="20" t="s">
        <v>149</v>
      </c>
    </row>
    <row r="28" spans="1:9" s="20" customFormat="1" x14ac:dyDescent="0.25">
      <c r="A28" s="20" t="s">
        <v>351</v>
      </c>
      <c r="B28" s="20" t="s">
        <v>331</v>
      </c>
      <c r="C28" s="20" t="s">
        <v>265</v>
      </c>
      <c r="D28" s="20">
        <v>2500</v>
      </c>
      <c r="F28" s="20" t="s">
        <v>143</v>
      </c>
      <c r="H28" s="20" t="s">
        <v>352</v>
      </c>
      <c r="I28" s="20" t="s">
        <v>149</v>
      </c>
    </row>
    <row r="29" spans="1:9" s="20" customFormat="1" x14ac:dyDescent="0.25">
      <c r="A29" s="20" t="s">
        <v>353</v>
      </c>
      <c r="B29" s="20" t="s">
        <v>136</v>
      </c>
      <c r="C29" s="20" t="s">
        <v>265</v>
      </c>
      <c r="D29" s="20" t="s">
        <v>354</v>
      </c>
      <c r="H29" s="20" t="s">
        <v>355</v>
      </c>
      <c r="I29" s="20" t="s">
        <v>149</v>
      </c>
    </row>
    <row r="30" spans="1:9" s="20" customFormat="1" x14ac:dyDescent="0.25">
      <c r="A30" s="20" t="s">
        <v>356</v>
      </c>
      <c r="B30" s="20" t="s">
        <v>331</v>
      </c>
      <c r="C30" s="20" t="s">
        <v>265</v>
      </c>
      <c r="D30" s="20">
        <v>50000</v>
      </c>
      <c r="H30" s="20" t="s">
        <v>357</v>
      </c>
      <c r="I30" s="20" t="s">
        <v>149</v>
      </c>
    </row>
    <row r="31" spans="1:9" x14ac:dyDescent="0.25">
      <c r="I31" s="4"/>
    </row>
    <row r="32" spans="1:9" x14ac:dyDescent="0.25">
      <c r="I32" s="4"/>
    </row>
    <row r="33" spans="9:9" x14ac:dyDescent="0.25">
      <c r="I33" s="4"/>
    </row>
    <row r="34" spans="9:9" x14ac:dyDescent="0.25">
      <c r="I34" s="4"/>
    </row>
    <row r="35" spans="9:9" x14ac:dyDescent="0.25">
      <c r="I35" s="4"/>
    </row>
    <row r="36" spans="9:9" x14ac:dyDescent="0.25">
      <c r="I36" s="4"/>
    </row>
    <row r="37" spans="9:9" x14ac:dyDescent="0.25">
      <c r="I37" s="4"/>
    </row>
    <row r="38" spans="9:9" x14ac:dyDescent="0.25">
      <c r="I38" s="4"/>
    </row>
    <row r="39" spans="9:9" x14ac:dyDescent="0.25">
      <c r="I39" s="4"/>
    </row>
    <row r="40" spans="9:9" x14ac:dyDescent="0.25">
      <c r="I40" s="4"/>
    </row>
    <row r="41" spans="9:9" x14ac:dyDescent="0.25">
      <c r="I41" s="4"/>
    </row>
    <row r="42" spans="9:9" x14ac:dyDescent="0.25">
      <c r="I42" s="4"/>
    </row>
    <row r="43" spans="9:9" x14ac:dyDescent="0.25">
      <c r="I43" s="4"/>
    </row>
  </sheetData>
  <phoneticPr fontId="8" type="noConversion"/>
  <conditionalFormatting sqref="A3:I30">
    <cfRule type="expression" dxfId="43" priority="19">
      <formula>$I3="Grå"</formula>
    </cfRule>
    <cfRule type="expression" dxfId="42" priority="20">
      <formula>$I3="Svart"</formula>
    </cfRule>
  </conditionalFormatting>
  <conditionalFormatting sqref="C3:C7">
    <cfRule type="expression" dxfId="41" priority="11">
      <formula>$I3="Grå"</formula>
    </cfRule>
    <cfRule type="expression" dxfId="40" priority="12">
      <formula>$I3="Grønn"</formula>
    </cfRule>
  </conditionalFormatting>
  <conditionalFormatting sqref="C9:C15">
    <cfRule type="expression" dxfId="39" priority="9">
      <formula>$I9="Grå"</formula>
    </cfRule>
    <cfRule type="expression" dxfId="38" priority="10">
      <formula>$I9="Grønn"</formula>
    </cfRule>
  </conditionalFormatting>
  <conditionalFormatting sqref="C17:C19">
    <cfRule type="expression" dxfId="37" priority="7">
      <formula>$I17="Grå"</formula>
    </cfRule>
    <cfRule type="expression" dxfId="36" priority="8">
      <formula>$I17="Grønn"</formula>
    </cfRule>
  </conditionalFormatting>
  <conditionalFormatting sqref="C21:C22">
    <cfRule type="expression" dxfId="35" priority="5">
      <formula>$I21="Grå"</formula>
    </cfRule>
    <cfRule type="expression" dxfId="34" priority="6">
      <formula>$I21="Grønn"</formula>
    </cfRule>
  </conditionalFormatting>
  <conditionalFormatting sqref="C24:C26">
    <cfRule type="expression" dxfId="33" priority="3">
      <formula>$I24="Grå"</formula>
    </cfRule>
    <cfRule type="expression" dxfId="32" priority="4">
      <formula>$I24="Grønn"</formula>
    </cfRule>
  </conditionalFormatting>
  <conditionalFormatting sqref="C28:C30">
    <cfRule type="expression" dxfId="31" priority="1">
      <formula>$I28="Grå"</formula>
    </cfRule>
    <cfRule type="expression" dxfId="30" priority="2">
      <formula>$I28="Grønn"</formula>
    </cfRule>
  </conditionalFormatting>
  <conditionalFormatting sqref="I31:I43">
    <cfRule type="expression" dxfId="29" priority="17">
      <formula>$I31="Grå"</formula>
    </cfRule>
    <cfRule type="expression" dxfId="28" priority="18">
      <formula>$I31="Grønn"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BC6F-1677-4A18-B5BB-025BB94AAB78}">
  <sheetPr>
    <tabColor rgb="FF0641B6"/>
  </sheetPr>
  <dimension ref="A1:S22"/>
  <sheetViews>
    <sheetView zoomScaleNormal="100" workbookViewId="0">
      <selection activeCell="D15" sqref="D15"/>
    </sheetView>
  </sheetViews>
  <sheetFormatPr defaultColWidth="9.140625" defaultRowHeight="15" x14ac:dyDescent="0.25"/>
  <cols>
    <col min="1" max="1" width="32.7109375" customWidth="1"/>
    <col min="2" max="3" width="9.140625" customWidth="1"/>
    <col min="4" max="4" width="43.7109375" customWidth="1"/>
    <col min="5" max="5" width="23.28515625" customWidth="1"/>
    <col min="6" max="6" width="50.5703125" customWidth="1"/>
    <col min="7" max="7" width="23.140625" customWidth="1"/>
    <col min="8" max="8" width="60.28515625" customWidth="1"/>
  </cols>
  <sheetData>
    <row r="1" spans="1:19" ht="21" x14ac:dyDescent="0.35">
      <c r="A1" s="2" t="s">
        <v>42</v>
      </c>
    </row>
    <row r="2" spans="1:19" x14ac:dyDescent="0.25">
      <c r="A2" s="3" t="s">
        <v>32</v>
      </c>
      <c r="B2" s="3" t="s">
        <v>36</v>
      </c>
      <c r="C2" s="3" t="s">
        <v>40</v>
      </c>
      <c r="D2" s="3" t="s">
        <v>44</v>
      </c>
      <c r="E2" s="3" t="s">
        <v>49</v>
      </c>
      <c r="F2" s="3" t="s">
        <v>53</v>
      </c>
      <c r="G2" s="3" t="s">
        <v>57</v>
      </c>
      <c r="H2" s="3" t="s">
        <v>61</v>
      </c>
      <c r="I2" s="3" t="s">
        <v>65</v>
      </c>
      <c r="J2" s="9"/>
    </row>
    <row r="3" spans="1:19" s="20" customFormat="1" x14ac:dyDescent="0.25">
      <c r="A3" s="20" t="s">
        <v>358</v>
      </c>
      <c r="B3" s="20" t="s">
        <v>136</v>
      </c>
      <c r="C3" s="20" t="s">
        <v>265</v>
      </c>
      <c r="H3" s="20" t="s">
        <v>359</v>
      </c>
      <c r="I3" s="20" t="s">
        <v>149</v>
      </c>
      <c r="S3" s="32"/>
    </row>
    <row r="4" spans="1:19" s="20" customFormat="1" x14ac:dyDescent="0.25">
      <c r="A4" s="20" t="s">
        <v>360</v>
      </c>
      <c r="B4" s="20" t="s">
        <v>136</v>
      </c>
      <c r="C4" s="20" t="s">
        <v>265</v>
      </c>
      <c r="H4" s="20" t="s">
        <v>359</v>
      </c>
      <c r="I4" s="20" t="s">
        <v>149</v>
      </c>
    </row>
    <row r="5" spans="1:19" s="20" customFormat="1" x14ac:dyDescent="0.25">
      <c r="A5" s="20" t="s">
        <v>361</v>
      </c>
      <c r="B5" s="20" t="s">
        <v>136</v>
      </c>
      <c r="C5" s="20" t="s">
        <v>265</v>
      </c>
      <c r="H5" s="20" t="s">
        <v>359</v>
      </c>
      <c r="I5" s="20" t="s">
        <v>149</v>
      </c>
    </row>
    <row r="6" spans="1:19" s="20" customFormat="1" x14ac:dyDescent="0.25">
      <c r="A6" s="20" t="s">
        <v>362</v>
      </c>
      <c r="B6" s="20" t="s">
        <v>136</v>
      </c>
      <c r="C6" s="20" t="s">
        <v>265</v>
      </c>
      <c r="H6" s="20" t="s">
        <v>359</v>
      </c>
      <c r="I6" s="20" t="s">
        <v>149</v>
      </c>
    </row>
    <row r="7" spans="1:19" s="20" customFormat="1" x14ac:dyDescent="0.25"/>
    <row r="8" spans="1:19" s="20" customFormat="1" x14ac:dyDescent="0.25">
      <c r="A8" s="20" t="s">
        <v>363</v>
      </c>
      <c r="B8" s="20" t="s">
        <v>136</v>
      </c>
      <c r="C8" s="20" t="s">
        <v>265</v>
      </c>
      <c r="D8" s="20" t="s">
        <v>364</v>
      </c>
      <c r="H8" s="20" t="s">
        <v>365</v>
      </c>
      <c r="I8" s="20" t="s">
        <v>149</v>
      </c>
    </row>
    <row r="9" spans="1:19" s="20" customFormat="1" x14ac:dyDescent="0.25">
      <c r="A9" s="20" t="s">
        <v>366</v>
      </c>
      <c r="B9" s="20" t="s">
        <v>136</v>
      </c>
      <c r="C9" s="20" t="s">
        <v>265</v>
      </c>
      <c r="D9" s="20" t="s">
        <v>367</v>
      </c>
      <c r="H9" s="20" t="s">
        <v>368</v>
      </c>
      <c r="I9" s="20" t="s">
        <v>149</v>
      </c>
    </row>
    <row r="10" spans="1:19" s="20" customFormat="1" x14ac:dyDescent="0.25"/>
    <row r="11" spans="1:19" s="20" customFormat="1" x14ac:dyDescent="0.25">
      <c r="A11" s="20" t="s">
        <v>369</v>
      </c>
      <c r="B11" s="20" t="s">
        <v>136</v>
      </c>
      <c r="C11" s="20" t="s">
        <v>265</v>
      </c>
      <c r="D11" s="20" t="s">
        <v>370</v>
      </c>
      <c r="E11" s="20" t="s">
        <v>371</v>
      </c>
      <c r="F11" s="20" t="s">
        <v>372</v>
      </c>
      <c r="H11" s="20" t="s">
        <v>373</v>
      </c>
      <c r="I11" s="20" t="s">
        <v>149</v>
      </c>
    </row>
    <row r="12" spans="1:19" s="20" customFormat="1" x14ac:dyDescent="0.25"/>
    <row r="13" spans="1:19" s="20" customFormat="1" x14ac:dyDescent="0.25">
      <c r="A13" s="20" t="s">
        <v>374</v>
      </c>
      <c r="B13" s="20" t="s">
        <v>136</v>
      </c>
      <c r="C13" s="20" t="s">
        <v>265</v>
      </c>
      <c r="D13" s="20" t="s">
        <v>375</v>
      </c>
      <c r="H13" s="20" t="s">
        <v>376</v>
      </c>
      <c r="I13" s="20" t="s">
        <v>149</v>
      </c>
    </row>
    <row r="14" spans="1:19" s="20" customFormat="1" x14ac:dyDescent="0.25"/>
    <row r="15" spans="1:19" s="20" customFormat="1" x14ac:dyDescent="0.25">
      <c r="A15" s="20" t="s">
        <v>377</v>
      </c>
      <c r="B15" s="20" t="s">
        <v>136</v>
      </c>
      <c r="C15" s="20" t="s">
        <v>265</v>
      </c>
      <c r="D15" s="33" t="s">
        <v>378</v>
      </c>
      <c r="H15" s="20" t="s">
        <v>379</v>
      </c>
      <c r="I15" s="20" t="s">
        <v>149</v>
      </c>
    </row>
    <row r="16" spans="1:19" s="20" customFormat="1" x14ac:dyDescent="0.25"/>
    <row r="17" spans="1:9" s="20" customFormat="1" x14ac:dyDescent="0.25">
      <c r="A17" s="20" t="s">
        <v>380</v>
      </c>
      <c r="B17" s="20" t="s">
        <v>136</v>
      </c>
      <c r="C17" s="20" t="s">
        <v>265</v>
      </c>
      <c r="D17" s="20" t="s">
        <v>381</v>
      </c>
      <c r="H17" s="20" t="s">
        <v>382</v>
      </c>
      <c r="I17" s="20" t="s">
        <v>149</v>
      </c>
    </row>
    <row r="18" spans="1:9" s="20" customFormat="1" x14ac:dyDescent="0.25">
      <c r="A18" s="20" t="s">
        <v>383</v>
      </c>
      <c r="B18" s="20" t="s">
        <v>136</v>
      </c>
      <c r="C18" s="20" t="s">
        <v>265</v>
      </c>
      <c r="D18" s="20" t="s">
        <v>384</v>
      </c>
      <c r="H18" s="20" t="s">
        <v>385</v>
      </c>
      <c r="I18" s="20" t="s">
        <v>149</v>
      </c>
    </row>
    <row r="19" spans="1:9" s="20" customFormat="1" x14ac:dyDescent="0.25">
      <c r="A19" s="20" t="s">
        <v>386</v>
      </c>
      <c r="B19" s="20" t="s">
        <v>136</v>
      </c>
      <c r="C19" s="20" t="s">
        <v>265</v>
      </c>
      <c r="D19" s="20" t="s">
        <v>387</v>
      </c>
      <c r="F19" s="20" t="s">
        <v>388</v>
      </c>
      <c r="H19" s="20" t="s">
        <v>389</v>
      </c>
      <c r="I19" s="20" t="s">
        <v>140</v>
      </c>
    </row>
    <row r="20" spans="1:9" s="20" customFormat="1" x14ac:dyDescent="0.25">
      <c r="A20" s="20" t="s">
        <v>390</v>
      </c>
      <c r="B20" s="20" t="s">
        <v>136</v>
      </c>
      <c r="C20" s="20" t="s">
        <v>265</v>
      </c>
      <c r="D20" s="20" t="s">
        <v>391</v>
      </c>
      <c r="F20" s="20" t="s">
        <v>388</v>
      </c>
      <c r="H20" s="20" t="s">
        <v>392</v>
      </c>
      <c r="I20" s="20" t="s">
        <v>149</v>
      </c>
    </row>
    <row r="21" spans="1:9" s="20" customFormat="1" x14ac:dyDescent="0.25">
      <c r="A21" s="20" t="s">
        <v>393</v>
      </c>
      <c r="B21" s="20" t="s">
        <v>136</v>
      </c>
      <c r="C21" s="20" t="s">
        <v>265</v>
      </c>
      <c r="D21" s="20" t="s">
        <v>394</v>
      </c>
      <c r="F21" s="20" t="s">
        <v>394</v>
      </c>
      <c r="H21" s="20" t="s">
        <v>395</v>
      </c>
      <c r="I21" s="20" t="s">
        <v>140</v>
      </c>
    </row>
    <row r="22" spans="1:9" s="20" customFormat="1" x14ac:dyDescent="0.25">
      <c r="A22" s="20" t="s">
        <v>396</v>
      </c>
      <c r="B22" s="20" t="s">
        <v>136</v>
      </c>
      <c r="C22" s="20" t="s">
        <v>265</v>
      </c>
      <c r="D22" s="20" t="s">
        <v>397</v>
      </c>
      <c r="F22" s="20" t="s">
        <v>398</v>
      </c>
      <c r="H22" s="20" t="s">
        <v>399</v>
      </c>
      <c r="I22" s="20" t="s">
        <v>149</v>
      </c>
    </row>
  </sheetData>
  <conditionalFormatting sqref="A3:I22">
    <cfRule type="expression" dxfId="27" priority="21">
      <formula>$I3="Grå"</formula>
    </cfRule>
    <cfRule type="expression" dxfId="26" priority="22">
      <formula>$I3="Svart"</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4BBB7-A72F-4AB4-825C-A65040978BFF}">
  <sheetPr>
    <tabColor rgb="FF0641B6"/>
  </sheetPr>
  <dimension ref="A1:J49"/>
  <sheetViews>
    <sheetView zoomScaleNormal="100" workbookViewId="0">
      <selection activeCell="A3" sqref="A3:B37"/>
    </sheetView>
  </sheetViews>
  <sheetFormatPr defaultColWidth="9.140625" defaultRowHeight="15" x14ac:dyDescent="0.25"/>
  <cols>
    <col min="1" max="1" width="40.28515625" customWidth="1"/>
    <col min="2" max="2" width="9.140625" customWidth="1"/>
    <col min="3" max="3" width="9" customWidth="1"/>
    <col min="4" max="5" width="68.42578125" customWidth="1"/>
    <col min="6" max="6" width="33.42578125" customWidth="1"/>
    <col min="7" max="7" width="42.28515625" customWidth="1"/>
    <col min="8" max="8" width="252.5703125" customWidth="1"/>
    <col min="10" max="10" width="9.140625" customWidth="1"/>
  </cols>
  <sheetData>
    <row r="1" spans="1:10" ht="21" x14ac:dyDescent="0.35">
      <c r="A1" s="2" t="s">
        <v>47</v>
      </c>
    </row>
    <row r="2" spans="1:10" x14ac:dyDescent="0.25">
      <c r="A2" s="3" t="s">
        <v>32</v>
      </c>
      <c r="B2" s="3" t="s">
        <v>36</v>
      </c>
      <c r="C2" s="3" t="s">
        <v>40</v>
      </c>
      <c r="D2" s="3" t="s">
        <v>44</v>
      </c>
      <c r="E2" s="3" t="s">
        <v>49</v>
      </c>
      <c r="F2" s="3" t="s">
        <v>53</v>
      </c>
      <c r="G2" s="3" t="s">
        <v>57</v>
      </c>
      <c r="H2" s="3" t="s">
        <v>61</v>
      </c>
      <c r="I2" s="3" t="s">
        <v>65</v>
      </c>
      <c r="J2" s="9"/>
    </row>
    <row r="3" spans="1:10" s="20" customFormat="1" x14ac:dyDescent="0.25">
      <c r="A3" s="20" t="s">
        <v>400</v>
      </c>
      <c r="B3" s="20" t="s">
        <v>136</v>
      </c>
      <c r="C3" s="20" t="s">
        <v>265</v>
      </c>
      <c r="D3" s="20" t="s">
        <v>232</v>
      </c>
      <c r="G3" s="20" t="s">
        <v>401</v>
      </c>
      <c r="H3" s="20" t="s">
        <v>402</v>
      </c>
      <c r="I3" s="20" t="s">
        <v>140</v>
      </c>
    </row>
    <row r="4" spans="1:10" s="20" customFormat="1" x14ac:dyDescent="0.25">
      <c r="A4" s="20" t="s">
        <v>403</v>
      </c>
      <c r="B4" s="20" t="s">
        <v>136</v>
      </c>
      <c r="C4" s="20" t="s">
        <v>265</v>
      </c>
      <c r="D4" s="20" t="s">
        <v>404</v>
      </c>
      <c r="G4" s="20" t="s">
        <v>144</v>
      </c>
      <c r="H4" s="20" t="s">
        <v>405</v>
      </c>
      <c r="I4" s="20" t="s">
        <v>149</v>
      </c>
    </row>
    <row r="5" spans="1:10" s="20" customFormat="1" x14ac:dyDescent="0.25">
      <c r="A5" s="20" t="s">
        <v>406</v>
      </c>
      <c r="B5" s="20" t="s">
        <v>136</v>
      </c>
      <c r="C5" s="20" t="s">
        <v>265</v>
      </c>
      <c r="D5" s="20" t="s">
        <v>407</v>
      </c>
      <c r="E5" s="20" t="s">
        <v>408</v>
      </c>
      <c r="G5" s="20" t="s">
        <v>144</v>
      </c>
      <c r="H5" s="20" t="s">
        <v>409</v>
      </c>
      <c r="I5" s="20" t="s">
        <v>140</v>
      </c>
    </row>
    <row r="6" spans="1:10" s="20" customFormat="1" x14ac:dyDescent="0.25">
      <c r="A6" s="20" t="s">
        <v>410</v>
      </c>
      <c r="B6" s="20" t="s">
        <v>136</v>
      </c>
      <c r="C6" s="20" t="s">
        <v>265</v>
      </c>
      <c r="D6" s="20" t="s">
        <v>411</v>
      </c>
      <c r="E6" s="20" t="s">
        <v>412</v>
      </c>
      <c r="G6" s="20" t="s">
        <v>144</v>
      </c>
      <c r="H6" s="20" t="s">
        <v>413</v>
      </c>
      <c r="I6" s="20" t="s">
        <v>140</v>
      </c>
    </row>
    <row r="7" spans="1:10" s="20" customFormat="1" x14ac:dyDescent="0.25">
      <c r="A7" s="20" t="s">
        <v>414</v>
      </c>
      <c r="B7" s="20" t="s">
        <v>136</v>
      </c>
      <c r="C7" s="20" t="s">
        <v>265</v>
      </c>
      <c r="D7" s="20" t="s">
        <v>415</v>
      </c>
      <c r="E7" s="20" t="s">
        <v>416</v>
      </c>
      <c r="G7" s="20" t="s">
        <v>144</v>
      </c>
      <c r="H7" s="20" t="s">
        <v>417</v>
      </c>
      <c r="I7" s="20" t="s">
        <v>140</v>
      </c>
    </row>
    <row r="8" spans="1:10" s="20" customFormat="1" x14ac:dyDescent="0.25">
      <c r="A8" s="20" t="s">
        <v>418</v>
      </c>
      <c r="B8" s="20" t="s">
        <v>136</v>
      </c>
      <c r="C8" s="20" t="s">
        <v>265</v>
      </c>
      <c r="D8" s="20" t="s">
        <v>419</v>
      </c>
      <c r="E8" s="20" t="s">
        <v>420</v>
      </c>
      <c r="G8" s="20" t="s">
        <v>144</v>
      </c>
      <c r="H8" s="20" t="s">
        <v>421</v>
      </c>
      <c r="I8" s="20" t="s">
        <v>149</v>
      </c>
    </row>
    <row r="9" spans="1:10" s="20" customFormat="1" x14ac:dyDescent="0.25">
      <c r="A9" s="20" t="s">
        <v>422</v>
      </c>
      <c r="B9" s="20" t="s">
        <v>136</v>
      </c>
      <c r="C9" s="20" t="s">
        <v>265</v>
      </c>
      <c r="D9" s="20" t="s">
        <v>423</v>
      </c>
      <c r="E9" s="20" t="s">
        <v>424</v>
      </c>
      <c r="G9" s="20" t="s">
        <v>144</v>
      </c>
      <c r="H9" s="20" t="s">
        <v>425</v>
      </c>
      <c r="I9" s="20" t="s">
        <v>140</v>
      </c>
    </row>
    <row r="10" spans="1:10" s="20" customFormat="1" x14ac:dyDescent="0.25"/>
    <row r="11" spans="1:10" s="20" customFormat="1" x14ac:dyDescent="0.25">
      <c r="A11" s="20" t="s">
        <v>426</v>
      </c>
      <c r="B11" s="20" t="s">
        <v>136</v>
      </c>
      <c r="C11" s="20" t="s">
        <v>265</v>
      </c>
      <c r="D11" s="20" t="s">
        <v>427</v>
      </c>
      <c r="G11" s="20" t="s">
        <v>144</v>
      </c>
      <c r="H11" s="20" t="s">
        <v>428</v>
      </c>
      <c r="I11" s="20" t="s">
        <v>140</v>
      </c>
    </row>
    <row r="12" spans="1:10" s="20" customFormat="1" x14ac:dyDescent="0.25">
      <c r="A12" s="20" t="s">
        <v>429</v>
      </c>
      <c r="B12" s="20" t="s">
        <v>136</v>
      </c>
      <c r="C12" s="20" t="s">
        <v>265</v>
      </c>
      <c r="D12" s="20" t="s">
        <v>430</v>
      </c>
      <c r="G12" s="20" t="s">
        <v>144</v>
      </c>
      <c r="H12" s="20" t="s">
        <v>431</v>
      </c>
      <c r="I12" s="20" t="s">
        <v>149</v>
      </c>
    </row>
    <row r="13" spans="1:10" s="20" customFormat="1" x14ac:dyDescent="0.25">
      <c r="A13" s="20" t="s">
        <v>432</v>
      </c>
      <c r="B13" s="20" t="s">
        <v>136</v>
      </c>
      <c r="C13" s="20" t="s">
        <v>265</v>
      </c>
      <c r="D13" s="20" t="s">
        <v>433</v>
      </c>
      <c r="G13" s="20" t="s">
        <v>144</v>
      </c>
      <c r="H13" s="20" t="s">
        <v>434</v>
      </c>
      <c r="I13" s="20" t="s">
        <v>149</v>
      </c>
    </row>
    <row r="14" spans="1:10" s="20" customFormat="1" x14ac:dyDescent="0.25"/>
    <row r="15" spans="1:10" s="20" customFormat="1" x14ac:dyDescent="0.25">
      <c r="A15" s="20" t="s">
        <v>435</v>
      </c>
      <c r="B15" s="20" t="s">
        <v>136</v>
      </c>
      <c r="C15" s="20" t="s">
        <v>265</v>
      </c>
      <c r="D15" s="20" t="s">
        <v>436</v>
      </c>
      <c r="E15" s="20" t="s">
        <v>437</v>
      </c>
      <c r="G15" s="20" t="s">
        <v>438</v>
      </c>
      <c r="H15" s="20" t="s">
        <v>439</v>
      </c>
      <c r="I15" s="20" t="s">
        <v>140</v>
      </c>
    </row>
    <row r="16" spans="1:10" s="20" customFormat="1" x14ac:dyDescent="0.25">
      <c r="A16" s="20" t="s">
        <v>440</v>
      </c>
      <c r="B16" s="20" t="s">
        <v>136</v>
      </c>
      <c r="C16" s="20" t="s">
        <v>265</v>
      </c>
      <c r="D16" s="20" t="s">
        <v>441</v>
      </c>
      <c r="G16" s="20" t="s">
        <v>144</v>
      </c>
      <c r="H16" s="20" t="s">
        <v>442</v>
      </c>
      <c r="I16" s="20" t="s">
        <v>140</v>
      </c>
    </row>
    <row r="17" spans="1:9" s="20" customFormat="1" x14ac:dyDescent="0.25"/>
    <row r="18" spans="1:9" s="20" customFormat="1" x14ac:dyDescent="0.25">
      <c r="A18" s="20" t="s">
        <v>443</v>
      </c>
      <c r="B18" s="20" t="s">
        <v>136</v>
      </c>
      <c r="C18" s="20" t="s">
        <v>265</v>
      </c>
      <c r="D18" s="20" t="s">
        <v>444</v>
      </c>
      <c r="G18" s="20" t="s">
        <v>144</v>
      </c>
      <c r="H18" s="20" t="s">
        <v>445</v>
      </c>
      <c r="I18" s="20" t="s">
        <v>140</v>
      </c>
    </row>
    <row r="19" spans="1:9" s="20" customFormat="1" x14ac:dyDescent="0.25">
      <c r="A19" s="20" t="s">
        <v>446</v>
      </c>
      <c r="B19" s="20" t="s">
        <v>136</v>
      </c>
      <c r="C19" s="20" t="s">
        <v>265</v>
      </c>
      <c r="D19" s="20" t="s">
        <v>447</v>
      </c>
      <c r="G19" s="20" t="s">
        <v>144</v>
      </c>
      <c r="H19" s="20" t="s">
        <v>448</v>
      </c>
      <c r="I19" s="20" t="s">
        <v>140</v>
      </c>
    </row>
    <row r="20" spans="1:9" s="20" customFormat="1" x14ac:dyDescent="0.25">
      <c r="A20" s="20" t="s">
        <v>449</v>
      </c>
      <c r="B20" s="20" t="s">
        <v>136</v>
      </c>
      <c r="C20" s="20" t="s">
        <v>265</v>
      </c>
      <c r="D20" s="20" t="s">
        <v>450</v>
      </c>
      <c r="G20" s="20" t="s">
        <v>144</v>
      </c>
      <c r="H20" s="20" t="s">
        <v>451</v>
      </c>
      <c r="I20" s="20" t="s">
        <v>149</v>
      </c>
    </row>
    <row r="21" spans="1:9" s="20" customFormat="1" x14ac:dyDescent="0.25">
      <c r="A21" s="20" t="s">
        <v>452</v>
      </c>
      <c r="B21" s="20" t="s">
        <v>136</v>
      </c>
      <c r="C21" s="20" t="s">
        <v>265</v>
      </c>
      <c r="D21" s="20" t="s">
        <v>453</v>
      </c>
      <c r="G21" s="20" t="s">
        <v>144</v>
      </c>
      <c r="H21" s="20" t="s">
        <v>454</v>
      </c>
      <c r="I21" s="20" t="s">
        <v>149</v>
      </c>
    </row>
    <row r="22" spans="1:9" s="20" customFormat="1" x14ac:dyDescent="0.25">
      <c r="A22" s="20" t="s">
        <v>455</v>
      </c>
      <c r="B22" s="20" t="s">
        <v>136</v>
      </c>
      <c r="C22" s="20" t="s">
        <v>265</v>
      </c>
      <c r="D22" s="20">
        <v>5</v>
      </c>
      <c r="G22" s="20" t="s">
        <v>144</v>
      </c>
      <c r="H22" s="20" t="s">
        <v>456</v>
      </c>
      <c r="I22" s="20" t="s">
        <v>149</v>
      </c>
    </row>
    <row r="23" spans="1:9" s="20" customFormat="1" x14ac:dyDescent="0.25"/>
    <row r="24" spans="1:9" s="20" customFormat="1" x14ac:dyDescent="0.25">
      <c r="A24" s="20" t="s">
        <v>457</v>
      </c>
      <c r="B24" s="20" t="s">
        <v>136</v>
      </c>
      <c r="C24" s="20" t="s">
        <v>265</v>
      </c>
      <c r="D24" s="20" t="s">
        <v>458</v>
      </c>
      <c r="G24" s="20" t="s">
        <v>144</v>
      </c>
      <c r="H24" s="20" t="s">
        <v>459</v>
      </c>
      <c r="I24" s="20" t="s">
        <v>149</v>
      </c>
    </row>
    <row r="25" spans="1:9" s="20" customFormat="1" x14ac:dyDescent="0.25">
      <c r="A25" s="20" t="s">
        <v>460</v>
      </c>
      <c r="B25" s="20" t="s">
        <v>136</v>
      </c>
      <c r="C25" s="20" t="s">
        <v>265</v>
      </c>
      <c r="D25" s="20" t="s">
        <v>461</v>
      </c>
      <c r="G25" s="20" t="s">
        <v>144</v>
      </c>
      <c r="H25" s="20" t="s">
        <v>462</v>
      </c>
      <c r="I25" s="20" t="s">
        <v>140</v>
      </c>
    </row>
    <row r="26" spans="1:9" s="20" customFormat="1" x14ac:dyDescent="0.25">
      <c r="A26" s="20" t="s">
        <v>463</v>
      </c>
      <c r="B26" s="20" t="s">
        <v>136</v>
      </c>
      <c r="C26" s="20" t="s">
        <v>265</v>
      </c>
      <c r="D26" s="20" t="s">
        <v>464</v>
      </c>
      <c r="G26" s="20" t="s">
        <v>144</v>
      </c>
      <c r="H26" s="20" t="s">
        <v>465</v>
      </c>
      <c r="I26" s="20" t="s">
        <v>149</v>
      </c>
    </row>
    <row r="27" spans="1:9" s="20" customFormat="1" x14ac:dyDescent="0.25">
      <c r="A27" s="20" t="s">
        <v>466</v>
      </c>
      <c r="B27" s="20" t="s">
        <v>136</v>
      </c>
      <c r="C27" s="20" t="s">
        <v>265</v>
      </c>
      <c r="D27" s="20" t="s">
        <v>467</v>
      </c>
      <c r="G27" s="20" t="s">
        <v>144</v>
      </c>
      <c r="H27" s="20" t="s">
        <v>468</v>
      </c>
      <c r="I27" s="20" t="s">
        <v>140</v>
      </c>
    </row>
    <row r="28" spans="1:9" s="20" customFormat="1" x14ac:dyDescent="0.25">
      <c r="A28" s="20" t="s">
        <v>469</v>
      </c>
      <c r="B28" s="20" t="s">
        <v>136</v>
      </c>
      <c r="C28" s="20" t="s">
        <v>265</v>
      </c>
      <c r="D28" s="20" t="s">
        <v>470</v>
      </c>
      <c r="G28" s="20" t="s">
        <v>144</v>
      </c>
      <c r="H28" s="20" t="s">
        <v>471</v>
      </c>
      <c r="I28" s="20" t="s">
        <v>149</v>
      </c>
    </row>
    <row r="29" spans="1:9" s="20" customFormat="1" x14ac:dyDescent="0.25">
      <c r="A29" s="20" t="s">
        <v>472</v>
      </c>
      <c r="B29" s="20" t="s">
        <v>136</v>
      </c>
      <c r="C29" s="20" t="s">
        <v>265</v>
      </c>
      <c r="G29" s="20" t="s">
        <v>144</v>
      </c>
      <c r="H29" s="20" t="s">
        <v>473</v>
      </c>
      <c r="I29" s="20" t="s">
        <v>149</v>
      </c>
    </row>
    <row r="30" spans="1:9" s="20" customFormat="1" x14ac:dyDescent="0.25"/>
    <row r="31" spans="1:9" s="20" customFormat="1" x14ac:dyDescent="0.25">
      <c r="A31" s="20" t="s">
        <v>474</v>
      </c>
      <c r="B31" s="20" t="s">
        <v>136</v>
      </c>
      <c r="C31" s="20" t="s">
        <v>265</v>
      </c>
      <c r="D31" s="20" t="s">
        <v>475</v>
      </c>
      <c r="G31" s="20" t="s">
        <v>144</v>
      </c>
      <c r="H31" s="20" t="s">
        <v>476</v>
      </c>
      <c r="I31" s="20" t="s">
        <v>149</v>
      </c>
    </row>
    <row r="32" spans="1:9" s="20" customFormat="1" x14ac:dyDescent="0.25">
      <c r="A32" s="20" t="s">
        <v>477</v>
      </c>
      <c r="B32" s="20" t="s">
        <v>136</v>
      </c>
      <c r="C32" s="20" t="s">
        <v>265</v>
      </c>
      <c r="D32" s="20" t="s">
        <v>478</v>
      </c>
      <c r="G32" s="20" t="s">
        <v>144</v>
      </c>
      <c r="H32" s="20" t="s">
        <v>479</v>
      </c>
      <c r="I32" s="20" t="s">
        <v>149</v>
      </c>
    </row>
    <row r="33" spans="1:10" s="20" customFormat="1" x14ac:dyDescent="0.25">
      <c r="A33" s="20" t="s">
        <v>480</v>
      </c>
      <c r="B33" s="20" t="s">
        <v>136</v>
      </c>
      <c r="C33" s="20" t="s">
        <v>265</v>
      </c>
      <c r="D33" s="20" t="s">
        <v>481</v>
      </c>
      <c r="G33" s="20" t="s">
        <v>144</v>
      </c>
      <c r="H33" s="20" t="s">
        <v>482</v>
      </c>
      <c r="I33" s="20" t="s">
        <v>149</v>
      </c>
    </row>
    <row r="34" spans="1:10" s="20" customFormat="1" x14ac:dyDescent="0.25"/>
    <row r="35" spans="1:10" s="20" customFormat="1" x14ac:dyDescent="0.25">
      <c r="A35" s="20" t="s">
        <v>483</v>
      </c>
      <c r="B35" s="20" t="s">
        <v>136</v>
      </c>
      <c r="C35" s="20" t="s">
        <v>265</v>
      </c>
      <c r="D35" s="20" t="s">
        <v>484</v>
      </c>
      <c r="G35" s="20" t="s">
        <v>212</v>
      </c>
      <c r="H35" s="20" t="s">
        <v>485</v>
      </c>
      <c r="I35" s="20" t="s">
        <v>149</v>
      </c>
    </row>
    <row r="36" spans="1:10" s="20" customFormat="1" x14ac:dyDescent="0.25">
      <c r="A36" s="20" t="s">
        <v>486</v>
      </c>
      <c r="B36" s="20" t="s">
        <v>136</v>
      </c>
      <c r="C36" s="20" t="s">
        <v>265</v>
      </c>
      <c r="D36" s="20" t="s">
        <v>487</v>
      </c>
      <c r="G36" s="20" t="s">
        <v>217</v>
      </c>
      <c r="H36" s="20" t="s">
        <v>488</v>
      </c>
      <c r="I36" s="20" t="s">
        <v>149</v>
      </c>
    </row>
    <row r="37" spans="1:10" s="20" customFormat="1" x14ac:dyDescent="0.25">
      <c r="A37" s="20" t="s">
        <v>489</v>
      </c>
      <c r="B37" s="20" t="s">
        <v>136</v>
      </c>
      <c r="C37" s="20" t="s">
        <v>265</v>
      </c>
      <c r="G37" s="20" t="s">
        <v>250</v>
      </c>
      <c r="H37" s="20" t="s">
        <v>490</v>
      </c>
      <c r="I37" s="20" t="s">
        <v>149</v>
      </c>
    </row>
    <row r="38" spans="1:10" x14ac:dyDescent="0.25">
      <c r="A38" s="5"/>
      <c r="B38" s="5"/>
      <c r="C38" s="5"/>
      <c r="D38" s="5"/>
      <c r="E38" s="5"/>
      <c r="I38" s="4"/>
    </row>
    <row r="39" spans="1:10" x14ac:dyDescent="0.25">
      <c r="E39" s="24"/>
      <c r="F39" s="24"/>
      <c r="G39" s="24"/>
      <c r="H39" s="24"/>
      <c r="I39" s="4"/>
      <c r="J39" s="24"/>
    </row>
    <row r="40" spans="1:10" x14ac:dyDescent="0.25">
      <c r="I40" s="4"/>
    </row>
    <row r="41" spans="1:10" x14ac:dyDescent="0.25">
      <c r="I41" s="4"/>
    </row>
    <row r="42" spans="1:10" x14ac:dyDescent="0.25">
      <c r="I42" s="4"/>
    </row>
    <row r="43" spans="1:10" x14ac:dyDescent="0.25">
      <c r="I43" s="4"/>
    </row>
    <row r="44" spans="1:10" x14ac:dyDescent="0.25">
      <c r="I44" s="4"/>
    </row>
    <row r="45" spans="1:10" x14ac:dyDescent="0.25">
      <c r="I45" s="4"/>
    </row>
    <row r="46" spans="1:10" x14ac:dyDescent="0.25">
      <c r="I46" s="4"/>
    </row>
    <row r="47" spans="1:10" x14ac:dyDescent="0.25">
      <c r="I47" s="4"/>
    </row>
    <row r="48" spans="1:10" x14ac:dyDescent="0.25">
      <c r="I48" s="4"/>
    </row>
    <row r="49" spans="9:9" x14ac:dyDescent="0.25">
      <c r="I49" s="4"/>
    </row>
  </sheetData>
  <phoneticPr fontId="8" type="noConversion"/>
  <conditionalFormatting sqref="A3:E37 G3:I37">
    <cfRule type="expression" dxfId="25" priority="1">
      <formula>$I3="Grå"</formula>
    </cfRule>
    <cfRule type="expression" dxfId="24" priority="2">
      <formula>$I3="Svart"</formula>
    </cfRule>
  </conditionalFormatting>
  <hyperlinks>
    <hyperlink ref="D36" r:id="rId1" xr:uid="{CA1BA42C-A9D1-46A8-A019-D7D43D8B2773}"/>
  </hyperlinks>
  <pageMargins left="0.7" right="0.7" top="0.75" bottom="0.75" header="0.3" footer="0.3"/>
  <pageSetup paperSize="9" orientation="portrait" horizontalDpi="300" verticalDpi="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4CDE3-4410-410F-B257-3C212BFF8B13}">
  <sheetPr>
    <tabColor rgb="FF6D9CFB"/>
  </sheetPr>
  <dimension ref="A1:I17"/>
  <sheetViews>
    <sheetView zoomScaleNormal="100" workbookViewId="0">
      <selection activeCell="A3" sqref="A3:B17"/>
    </sheetView>
  </sheetViews>
  <sheetFormatPr defaultColWidth="9.140625" defaultRowHeight="15" x14ac:dyDescent="0.25"/>
  <cols>
    <col min="1" max="1" width="53.5703125" customWidth="1"/>
    <col min="2" max="2" width="9" customWidth="1"/>
    <col min="3" max="3" width="15.85546875" customWidth="1"/>
    <col min="4" max="4" width="45" customWidth="1"/>
    <col min="5" max="5" width="26.28515625" customWidth="1"/>
    <col min="6" max="6" width="20.7109375" customWidth="1"/>
    <col min="7" max="7" width="24" customWidth="1"/>
    <col min="8" max="8" width="123.5703125" customWidth="1"/>
  </cols>
  <sheetData>
    <row r="1" spans="1:9" ht="21" x14ac:dyDescent="0.35">
      <c r="A1" s="2" t="s">
        <v>55</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491</v>
      </c>
      <c r="B3" s="20" t="s">
        <v>136</v>
      </c>
      <c r="C3" s="20" t="s">
        <v>265</v>
      </c>
      <c r="D3" s="20">
        <v>2</v>
      </c>
      <c r="E3" s="20" t="s">
        <v>492</v>
      </c>
      <c r="H3" s="20" t="s">
        <v>493</v>
      </c>
      <c r="I3" s="20" t="s">
        <v>140</v>
      </c>
    </row>
    <row r="4" spans="1:9" s="20" customFormat="1" x14ac:dyDescent="0.25">
      <c r="A4" s="20" t="s">
        <v>494</v>
      </c>
      <c r="B4" s="20" t="s">
        <v>136</v>
      </c>
      <c r="C4" s="20" t="s">
        <v>265</v>
      </c>
      <c r="D4" s="20" t="s">
        <v>495</v>
      </c>
      <c r="E4" s="20" t="s">
        <v>496</v>
      </c>
      <c r="H4" s="20" t="s">
        <v>497</v>
      </c>
      <c r="I4" s="20" t="s">
        <v>140</v>
      </c>
    </row>
    <row r="5" spans="1:9" s="20" customFormat="1" x14ac:dyDescent="0.25">
      <c r="A5" s="20" t="s">
        <v>498</v>
      </c>
      <c r="B5" s="20" t="s">
        <v>136</v>
      </c>
      <c r="C5" s="20" t="s">
        <v>265</v>
      </c>
      <c r="D5" s="20" t="s">
        <v>499</v>
      </c>
      <c r="F5" s="20" t="s">
        <v>500</v>
      </c>
      <c r="H5" s="20" t="s">
        <v>501</v>
      </c>
      <c r="I5" s="20" t="s">
        <v>149</v>
      </c>
    </row>
    <row r="6" spans="1:9" s="20" customFormat="1" x14ac:dyDescent="0.25">
      <c r="A6" s="20" t="s">
        <v>502</v>
      </c>
      <c r="B6" s="20" t="s">
        <v>136</v>
      </c>
      <c r="C6" s="20" t="s">
        <v>265</v>
      </c>
      <c r="D6" s="20" t="s">
        <v>503</v>
      </c>
      <c r="F6" s="20">
        <f>KON_Felles!E19</f>
        <v>0</v>
      </c>
      <c r="H6" s="20" t="str">
        <f>KON_Felles!H19</f>
        <v>Presis materialspesifikasjon for materiale.</v>
      </c>
      <c r="I6" s="20" t="s">
        <v>140</v>
      </c>
    </row>
    <row r="7" spans="1:9" s="20" customFormat="1" x14ac:dyDescent="0.25">
      <c r="A7" s="20" t="s">
        <v>504</v>
      </c>
      <c r="B7" s="20" t="s">
        <v>136</v>
      </c>
      <c r="C7" s="20" t="s">
        <v>265</v>
      </c>
      <c r="D7" s="20" t="s">
        <v>505</v>
      </c>
      <c r="F7" s="20" t="s">
        <v>500</v>
      </c>
      <c r="H7" s="20" t="s">
        <v>506</v>
      </c>
      <c r="I7" s="20" t="s">
        <v>149</v>
      </c>
    </row>
    <row r="8" spans="1:9" s="20" customFormat="1" x14ac:dyDescent="0.25">
      <c r="A8" s="20" t="s">
        <v>507</v>
      </c>
      <c r="B8" s="20" t="s">
        <v>136</v>
      </c>
      <c r="C8" s="20" t="s">
        <v>265</v>
      </c>
      <c r="D8" s="20" t="s">
        <v>287</v>
      </c>
      <c r="F8" s="20" t="s">
        <v>508</v>
      </c>
      <c r="H8" s="20" t="s">
        <v>509</v>
      </c>
      <c r="I8" s="20" t="s">
        <v>149</v>
      </c>
    </row>
    <row r="9" spans="1:9" s="20" customFormat="1" x14ac:dyDescent="0.25"/>
    <row r="10" spans="1:9" s="20" customFormat="1" x14ac:dyDescent="0.25">
      <c r="A10" s="20" t="s">
        <v>510</v>
      </c>
      <c r="B10" s="20" t="s">
        <v>136</v>
      </c>
      <c r="C10" s="20" t="s">
        <v>265</v>
      </c>
      <c r="D10" s="20" t="s">
        <v>511</v>
      </c>
      <c r="F10" s="20" t="s">
        <v>512</v>
      </c>
      <c r="H10" s="20" t="s">
        <v>513</v>
      </c>
      <c r="I10" s="20" t="s">
        <v>140</v>
      </c>
    </row>
    <row r="11" spans="1:9" s="20" customFormat="1" x14ac:dyDescent="0.25">
      <c r="A11" s="20" t="s">
        <v>514</v>
      </c>
      <c r="B11" s="20" t="s">
        <v>136</v>
      </c>
      <c r="C11" s="20" t="s">
        <v>265</v>
      </c>
      <c r="D11" s="20" t="s">
        <v>515</v>
      </c>
      <c r="E11" s="20" t="s">
        <v>516</v>
      </c>
      <c r="H11" s="20" t="s">
        <v>517</v>
      </c>
      <c r="I11" s="20" t="s">
        <v>140</v>
      </c>
    </row>
    <row r="12" spans="1:9" s="20" customFormat="1" x14ac:dyDescent="0.25">
      <c r="A12" s="20" t="s">
        <v>518</v>
      </c>
      <c r="B12" s="20" t="s">
        <v>136</v>
      </c>
      <c r="C12" s="20" t="s">
        <v>265</v>
      </c>
      <c r="D12" s="20" t="s">
        <v>519</v>
      </c>
      <c r="E12" s="20">
        <v>7</v>
      </c>
      <c r="H12" s="20" t="s">
        <v>520</v>
      </c>
      <c r="I12" s="20" t="s">
        <v>149</v>
      </c>
    </row>
    <row r="13" spans="1:9" s="20" customFormat="1" x14ac:dyDescent="0.25"/>
    <row r="14" spans="1:9" s="20" customFormat="1" x14ac:dyDescent="0.25">
      <c r="A14" s="20" t="s">
        <v>521</v>
      </c>
      <c r="B14" s="20" t="s">
        <v>136</v>
      </c>
      <c r="C14" s="20" t="s">
        <v>265</v>
      </c>
      <c r="D14" s="20" t="s">
        <v>522</v>
      </c>
      <c r="H14" s="20" t="s">
        <v>523</v>
      </c>
      <c r="I14" s="20" t="s">
        <v>140</v>
      </c>
    </row>
    <row r="15" spans="1:9" s="20" customFormat="1" x14ac:dyDescent="0.25"/>
    <row r="16" spans="1:9" s="20" customFormat="1" x14ac:dyDescent="0.25">
      <c r="A16" s="20" t="s">
        <v>524</v>
      </c>
      <c r="B16" s="20" t="s">
        <v>136</v>
      </c>
      <c r="C16" s="20" t="s">
        <v>265</v>
      </c>
      <c r="D16" s="20" t="s">
        <v>525</v>
      </c>
      <c r="F16" s="20" t="s">
        <v>526</v>
      </c>
      <c r="H16" s="20" t="s">
        <v>527</v>
      </c>
      <c r="I16" s="20" t="s">
        <v>140</v>
      </c>
    </row>
    <row r="17" spans="1:9" s="20" customFormat="1" x14ac:dyDescent="0.25">
      <c r="A17" s="20" t="s">
        <v>528</v>
      </c>
      <c r="B17" s="20" t="s">
        <v>136</v>
      </c>
      <c r="C17" s="20" t="s">
        <v>265</v>
      </c>
      <c r="D17" s="20" t="s">
        <v>529</v>
      </c>
      <c r="F17" s="20" t="s">
        <v>143</v>
      </c>
      <c r="H17" s="20" t="s">
        <v>530</v>
      </c>
      <c r="I17" s="20" t="s">
        <v>140</v>
      </c>
    </row>
  </sheetData>
  <phoneticPr fontId="8" type="noConversion"/>
  <conditionalFormatting sqref="A3:I4 A5:D5 F5:I5 A6:I17">
    <cfRule type="expression" dxfId="23" priority="1">
      <formula>$I3="Grå"</formula>
    </cfRule>
    <cfRule type="expression" dxfId="22" priority="2">
      <formula>$I3="Svart"</formula>
    </cfRule>
  </conditionalFormatting>
  <pageMargins left="0.7" right="0.7" top="0.75" bottom="0.75" header="0.3" footer="0.3"/>
  <pageSetup paperSize="9" orientation="portrait" horizontalDpi="30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924A2-798C-4388-A001-D754692768F4}">
  <sheetPr>
    <tabColor rgb="FF6D9CFB"/>
  </sheetPr>
  <dimension ref="A1:J107"/>
  <sheetViews>
    <sheetView topLeftCell="A62" workbookViewId="0">
      <selection activeCell="A3" sqref="A3:B94"/>
    </sheetView>
  </sheetViews>
  <sheetFormatPr defaultColWidth="9.140625" defaultRowHeight="15" x14ac:dyDescent="0.25"/>
  <cols>
    <col min="1" max="1" width="33.85546875" customWidth="1"/>
    <col min="2" max="2" width="28.85546875" customWidth="1"/>
    <col min="3" max="3" width="17.5703125" customWidth="1"/>
    <col min="4" max="4" width="52.28515625" customWidth="1"/>
    <col min="5" max="5" width="48" customWidth="1"/>
    <col min="6" max="6" width="45.5703125" customWidth="1"/>
    <col min="7" max="7" width="14.5703125" customWidth="1"/>
    <col min="8" max="8" width="71.42578125" customWidth="1"/>
    <col min="9" max="9" width="9.140625" customWidth="1" collapsed="1"/>
    <col min="10" max="10" width="9.140625" bestFit="1" customWidth="1"/>
    <col min="29" max="29" width="35" bestFit="1" customWidth="1"/>
    <col min="16367" max="16367" width="9.140625" bestFit="1" customWidth="1"/>
  </cols>
  <sheetData>
    <row r="1" spans="1:10" ht="21" x14ac:dyDescent="0.35">
      <c r="A1" s="2" t="s">
        <v>51</v>
      </c>
    </row>
    <row r="2" spans="1:10" x14ac:dyDescent="0.25">
      <c r="A2" s="3" t="s">
        <v>32</v>
      </c>
      <c r="B2" s="3" t="s">
        <v>36</v>
      </c>
      <c r="C2" s="3" t="s">
        <v>40</v>
      </c>
      <c r="D2" s="3" t="s">
        <v>44</v>
      </c>
      <c r="E2" s="3" t="s">
        <v>49</v>
      </c>
      <c r="F2" s="3" t="s">
        <v>53</v>
      </c>
      <c r="G2" s="3" t="s">
        <v>57</v>
      </c>
      <c r="H2" s="3" t="s">
        <v>61</v>
      </c>
      <c r="I2" s="3" t="s">
        <v>65</v>
      </c>
      <c r="J2" s="9"/>
    </row>
    <row r="3" spans="1:10" s="20" customFormat="1" x14ac:dyDescent="0.25">
      <c r="A3" s="20" t="s">
        <v>11</v>
      </c>
      <c r="B3" s="20" t="s">
        <v>136</v>
      </c>
      <c r="C3" s="20" t="s">
        <v>265</v>
      </c>
      <c r="D3" s="20" t="s">
        <v>531</v>
      </c>
      <c r="H3" s="20" t="s">
        <v>532</v>
      </c>
      <c r="I3" s="20" t="s">
        <v>140</v>
      </c>
    </row>
    <row r="4" spans="1:10" s="20" customFormat="1" x14ac:dyDescent="0.25">
      <c r="A4" s="20" t="s">
        <v>533</v>
      </c>
      <c r="B4" s="20" t="s">
        <v>136</v>
      </c>
      <c r="C4" s="20" t="s">
        <v>265</v>
      </c>
      <c r="D4" s="20" t="s">
        <v>534</v>
      </c>
      <c r="H4" s="20" t="s">
        <v>535</v>
      </c>
      <c r="I4" s="20" t="s">
        <v>149</v>
      </c>
    </row>
    <row r="5" spans="1:10" s="20" customFormat="1" x14ac:dyDescent="0.25">
      <c r="A5" s="20" t="s">
        <v>536</v>
      </c>
      <c r="B5" s="20" t="s">
        <v>136</v>
      </c>
      <c r="C5" s="20" t="s">
        <v>265</v>
      </c>
      <c r="D5" s="20" t="s">
        <v>537</v>
      </c>
      <c r="H5" s="20" t="s">
        <v>538</v>
      </c>
      <c r="I5" s="20" t="s">
        <v>149</v>
      </c>
    </row>
    <row r="6" spans="1:10" s="20" customFormat="1" x14ac:dyDescent="0.25">
      <c r="A6" s="20" t="s">
        <v>539</v>
      </c>
      <c r="B6" s="20" t="s">
        <v>136</v>
      </c>
      <c r="C6" s="20" t="s">
        <v>265</v>
      </c>
      <c r="D6" s="20" t="s">
        <v>540</v>
      </c>
      <c r="H6" s="20" t="s">
        <v>538</v>
      </c>
      <c r="I6" s="20" t="s">
        <v>149</v>
      </c>
    </row>
    <row r="7" spans="1:10" s="20" customFormat="1" x14ac:dyDescent="0.25">
      <c r="A7" s="20" t="s">
        <v>541</v>
      </c>
      <c r="B7" s="20" t="s">
        <v>136</v>
      </c>
      <c r="C7" s="20" t="s">
        <v>265</v>
      </c>
      <c r="D7" s="20" t="s">
        <v>542</v>
      </c>
      <c r="E7" s="20" t="s">
        <v>543</v>
      </c>
      <c r="H7" s="20" t="s">
        <v>544</v>
      </c>
      <c r="I7" s="20" t="s">
        <v>149</v>
      </c>
    </row>
    <row r="8" spans="1:10" s="20" customFormat="1" x14ac:dyDescent="0.25">
      <c r="A8" s="20" t="s">
        <v>545</v>
      </c>
      <c r="B8" s="20" t="s">
        <v>136</v>
      </c>
      <c r="C8" s="20" t="s">
        <v>265</v>
      </c>
      <c r="D8" s="20" t="s">
        <v>546</v>
      </c>
      <c r="E8" s="20" t="s">
        <v>543</v>
      </c>
      <c r="H8" s="20" t="s">
        <v>547</v>
      </c>
      <c r="I8" s="20" t="s">
        <v>149</v>
      </c>
    </row>
    <row r="9" spans="1:10" s="20" customFormat="1" x14ac:dyDescent="0.25">
      <c r="A9" s="20" t="s">
        <v>548</v>
      </c>
      <c r="B9" s="20" t="s">
        <v>136</v>
      </c>
      <c r="C9" s="20" t="s">
        <v>265</v>
      </c>
      <c r="D9" s="20" t="s">
        <v>549</v>
      </c>
      <c r="F9" s="20" t="s">
        <v>550</v>
      </c>
      <c r="H9" s="20" t="s">
        <v>551</v>
      </c>
      <c r="I9" s="20" t="s">
        <v>140</v>
      </c>
    </row>
    <row r="10" spans="1:10" s="20" customFormat="1" x14ac:dyDescent="0.25"/>
    <row r="11" spans="1:10" s="20" customFormat="1" x14ac:dyDescent="0.25">
      <c r="A11" s="20" t="s">
        <v>552</v>
      </c>
      <c r="B11" s="20" t="s">
        <v>553</v>
      </c>
      <c r="C11" s="20" t="s">
        <v>265</v>
      </c>
      <c r="D11" s="20" t="s">
        <v>554</v>
      </c>
      <c r="H11" s="20" t="s">
        <v>555</v>
      </c>
      <c r="I11" s="20" t="s">
        <v>140</v>
      </c>
    </row>
    <row r="12" spans="1:10" s="20" customFormat="1" x14ac:dyDescent="0.25">
      <c r="A12" s="20" t="s">
        <v>556</v>
      </c>
      <c r="B12" s="20" t="s">
        <v>136</v>
      </c>
      <c r="C12" s="20" t="s">
        <v>265</v>
      </c>
      <c r="D12" s="20" t="s">
        <v>557</v>
      </c>
      <c r="H12" s="20" t="s">
        <v>558</v>
      </c>
      <c r="I12" s="20" t="s">
        <v>149</v>
      </c>
    </row>
    <row r="13" spans="1:10" s="20" customFormat="1" x14ac:dyDescent="0.25">
      <c r="A13" s="20" t="s">
        <v>559</v>
      </c>
      <c r="B13" s="20" t="s">
        <v>553</v>
      </c>
      <c r="C13" s="20" t="s">
        <v>265</v>
      </c>
      <c r="D13" s="20" t="s">
        <v>560</v>
      </c>
      <c r="H13" s="20" t="s">
        <v>561</v>
      </c>
      <c r="I13" s="20" t="s">
        <v>140</v>
      </c>
    </row>
    <row r="14" spans="1:10" s="20" customFormat="1" x14ac:dyDescent="0.25">
      <c r="A14" s="20" t="s">
        <v>562</v>
      </c>
      <c r="B14" s="20" t="s">
        <v>136</v>
      </c>
      <c r="C14" s="20" t="s">
        <v>265</v>
      </c>
      <c r="D14" s="20" t="s">
        <v>563</v>
      </c>
      <c r="H14" s="20" t="s">
        <v>564</v>
      </c>
      <c r="I14" s="20" t="s">
        <v>149</v>
      </c>
    </row>
    <row r="15" spans="1:10" s="20" customFormat="1" x14ac:dyDescent="0.25">
      <c r="A15" s="20" t="s">
        <v>565</v>
      </c>
      <c r="B15" s="20" t="s">
        <v>136</v>
      </c>
      <c r="C15" s="20" t="s">
        <v>265</v>
      </c>
      <c r="D15" s="20" t="s">
        <v>566</v>
      </c>
      <c r="H15" s="20" t="s">
        <v>567</v>
      </c>
      <c r="I15" s="20" t="s">
        <v>149</v>
      </c>
    </row>
    <row r="16" spans="1:10" s="20" customFormat="1" x14ac:dyDescent="0.25">
      <c r="A16" s="20" t="s">
        <v>568</v>
      </c>
      <c r="B16" s="20" t="s">
        <v>136</v>
      </c>
      <c r="C16" s="20" t="s">
        <v>265</v>
      </c>
      <c r="D16" s="20" t="s">
        <v>569</v>
      </c>
      <c r="H16" s="20" t="s">
        <v>570</v>
      </c>
      <c r="I16" s="20" t="s">
        <v>140</v>
      </c>
    </row>
    <row r="17" spans="1:9" s="20" customFormat="1" x14ac:dyDescent="0.25">
      <c r="A17" s="20" t="s">
        <v>571</v>
      </c>
      <c r="B17" s="20" t="s">
        <v>136</v>
      </c>
      <c r="C17" s="20" t="s">
        <v>265</v>
      </c>
      <c r="D17" s="20" t="s">
        <v>572</v>
      </c>
      <c r="E17" s="20" t="s">
        <v>573</v>
      </c>
      <c r="F17" s="20" t="s">
        <v>573</v>
      </c>
      <c r="H17" s="20" t="s">
        <v>574</v>
      </c>
      <c r="I17" s="20" t="s">
        <v>149</v>
      </c>
    </row>
    <row r="18" spans="1:9" s="20" customFormat="1" x14ac:dyDescent="0.25">
      <c r="A18" s="20" t="s">
        <v>575</v>
      </c>
      <c r="B18" s="20" t="s">
        <v>136</v>
      </c>
      <c r="C18" s="20" t="s">
        <v>265</v>
      </c>
      <c r="D18" s="20" t="s">
        <v>576</v>
      </c>
      <c r="E18" s="20" t="s">
        <v>577</v>
      </c>
      <c r="H18" s="20" t="s">
        <v>578</v>
      </c>
      <c r="I18" s="20" t="s">
        <v>149</v>
      </c>
    </row>
    <row r="19" spans="1:9" s="20" customFormat="1" x14ac:dyDescent="0.25">
      <c r="A19" s="20" t="s">
        <v>579</v>
      </c>
      <c r="B19" s="20" t="s">
        <v>136</v>
      </c>
      <c r="C19" s="20" t="s">
        <v>265</v>
      </c>
      <c r="D19" s="20" t="s">
        <v>580</v>
      </c>
      <c r="H19" s="20" t="s">
        <v>581</v>
      </c>
      <c r="I19" s="20" t="s">
        <v>149</v>
      </c>
    </row>
    <row r="20" spans="1:9" s="20" customFormat="1" x14ac:dyDescent="0.25">
      <c r="A20" s="20" t="s">
        <v>582</v>
      </c>
      <c r="B20" s="20" t="s">
        <v>553</v>
      </c>
      <c r="C20" s="20" t="s">
        <v>265</v>
      </c>
      <c r="D20" s="20" t="s">
        <v>583</v>
      </c>
      <c r="H20" s="20" t="s">
        <v>584</v>
      </c>
      <c r="I20" s="20" t="s">
        <v>140</v>
      </c>
    </row>
    <row r="21" spans="1:9" s="20" customFormat="1" x14ac:dyDescent="0.25">
      <c r="A21" s="20" t="s">
        <v>585</v>
      </c>
      <c r="B21" s="20" t="s">
        <v>586</v>
      </c>
      <c r="C21" s="20" t="s">
        <v>265</v>
      </c>
      <c r="D21" s="20" t="s">
        <v>587</v>
      </c>
      <c r="F21" s="20" t="s">
        <v>588</v>
      </c>
      <c r="H21" s="20" t="s">
        <v>589</v>
      </c>
      <c r="I21" s="20" t="s">
        <v>149</v>
      </c>
    </row>
    <row r="22" spans="1:9" s="20" customFormat="1" x14ac:dyDescent="0.25">
      <c r="A22" s="20" t="s">
        <v>590</v>
      </c>
      <c r="B22" s="20" t="s">
        <v>591</v>
      </c>
      <c r="C22" s="20" t="s">
        <v>265</v>
      </c>
      <c r="D22" s="20" t="s">
        <v>592</v>
      </c>
      <c r="H22" s="20" t="s">
        <v>593</v>
      </c>
      <c r="I22" s="20" t="s">
        <v>140</v>
      </c>
    </row>
    <row r="23" spans="1:9" s="20" customFormat="1" x14ac:dyDescent="0.25">
      <c r="A23" s="20" t="s">
        <v>594</v>
      </c>
      <c r="B23" s="20" t="s">
        <v>136</v>
      </c>
      <c r="C23" s="20" t="s">
        <v>265</v>
      </c>
      <c r="D23" s="20" t="s">
        <v>595</v>
      </c>
      <c r="E23" s="20" t="s">
        <v>596</v>
      </c>
      <c r="H23" s="20" t="s">
        <v>597</v>
      </c>
      <c r="I23" s="20" t="s">
        <v>149</v>
      </c>
    </row>
    <row r="24" spans="1:9" s="20" customFormat="1" x14ac:dyDescent="0.25">
      <c r="A24" s="20" t="s">
        <v>598</v>
      </c>
      <c r="B24" s="20" t="s">
        <v>591</v>
      </c>
      <c r="C24" s="20" t="s">
        <v>265</v>
      </c>
      <c r="D24" s="20" t="s">
        <v>599</v>
      </c>
      <c r="H24" s="20" t="s">
        <v>600</v>
      </c>
      <c r="I24" s="20" t="s">
        <v>149</v>
      </c>
    </row>
    <row r="25" spans="1:9" s="20" customFormat="1" x14ac:dyDescent="0.25"/>
    <row r="26" spans="1:9" s="20" customFormat="1" x14ac:dyDescent="0.25">
      <c r="A26" s="20" t="s">
        <v>601</v>
      </c>
      <c r="B26" s="20" t="s">
        <v>136</v>
      </c>
      <c r="C26" s="20" t="s">
        <v>265</v>
      </c>
      <c r="D26" s="20" t="s">
        <v>602</v>
      </c>
      <c r="F26" s="20" t="s">
        <v>603</v>
      </c>
      <c r="H26" s="20" t="s">
        <v>604</v>
      </c>
      <c r="I26" s="20" t="s">
        <v>140</v>
      </c>
    </row>
    <row r="27" spans="1:9" s="20" customFormat="1" x14ac:dyDescent="0.25">
      <c r="A27" s="20" t="s">
        <v>605</v>
      </c>
      <c r="B27" s="20" t="s">
        <v>136</v>
      </c>
      <c r="C27" s="20" t="s">
        <v>265</v>
      </c>
      <c r="D27" s="20" t="s">
        <v>606</v>
      </c>
      <c r="F27" s="20" t="s">
        <v>607</v>
      </c>
      <c r="H27" s="20" t="s">
        <v>608</v>
      </c>
      <c r="I27" s="20" t="s">
        <v>140</v>
      </c>
    </row>
    <row r="28" spans="1:9" s="20" customFormat="1" x14ac:dyDescent="0.25">
      <c r="A28" s="20" t="s">
        <v>609</v>
      </c>
      <c r="B28" s="20" t="s">
        <v>136</v>
      </c>
      <c r="C28" s="20" t="s">
        <v>265</v>
      </c>
      <c r="D28" s="20" t="s">
        <v>610</v>
      </c>
      <c r="F28" s="20" t="s">
        <v>611</v>
      </c>
      <c r="H28" s="20" t="s">
        <v>612</v>
      </c>
      <c r="I28" s="20" t="s">
        <v>140</v>
      </c>
    </row>
    <row r="29" spans="1:9" s="20" customFormat="1" x14ac:dyDescent="0.25">
      <c r="A29" s="20" t="s">
        <v>613</v>
      </c>
      <c r="B29" s="20" t="s">
        <v>136</v>
      </c>
      <c r="C29" s="20" t="s">
        <v>265</v>
      </c>
      <c r="D29" s="20" t="s">
        <v>614</v>
      </c>
      <c r="F29" s="20" t="s">
        <v>615</v>
      </c>
      <c r="H29" s="20" t="s">
        <v>616</v>
      </c>
      <c r="I29" s="20" t="s">
        <v>140</v>
      </c>
    </row>
    <row r="30" spans="1:9" s="20" customFormat="1" x14ac:dyDescent="0.25">
      <c r="A30" s="20" t="s">
        <v>617</v>
      </c>
      <c r="B30" s="20" t="s">
        <v>136</v>
      </c>
      <c r="C30" s="20" t="s">
        <v>265</v>
      </c>
      <c r="D30" s="20" t="s">
        <v>618</v>
      </c>
      <c r="F30" s="20" t="s">
        <v>611</v>
      </c>
      <c r="H30" s="20" t="s">
        <v>619</v>
      </c>
      <c r="I30" s="20" t="s">
        <v>140</v>
      </c>
    </row>
    <row r="31" spans="1:9" s="20" customFormat="1" x14ac:dyDescent="0.25">
      <c r="A31" s="20" t="s">
        <v>620</v>
      </c>
      <c r="B31" s="20" t="s">
        <v>136</v>
      </c>
      <c r="C31" s="20" t="s">
        <v>265</v>
      </c>
      <c r="D31" s="20" t="s">
        <v>621</v>
      </c>
      <c r="F31" s="20" t="s">
        <v>615</v>
      </c>
      <c r="H31" s="20" t="s">
        <v>622</v>
      </c>
      <c r="I31" s="20" t="s">
        <v>140</v>
      </c>
    </row>
    <row r="32" spans="1:9" s="20" customFormat="1" x14ac:dyDescent="0.25">
      <c r="A32" s="20" t="s">
        <v>623</v>
      </c>
      <c r="B32" s="20" t="s">
        <v>136</v>
      </c>
      <c r="C32" s="20" t="s">
        <v>265</v>
      </c>
      <c r="D32" s="20" t="s">
        <v>624</v>
      </c>
      <c r="E32" s="20" t="s">
        <v>625</v>
      </c>
      <c r="H32" s="20" t="s">
        <v>626</v>
      </c>
      <c r="I32" s="20" t="s">
        <v>140</v>
      </c>
    </row>
    <row r="33" spans="1:9" s="20" customFormat="1" x14ac:dyDescent="0.25">
      <c r="A33" s="20" t="s">
        <v>627</v>
      </c>
      <c r="B33" s="20" t="s">
        <v>553</v>
      </c>
      <c r="C33" s="20" t="s">
        <v>265</v>
      </c>
      <c r="D33" s="20" t="s">
        <v>628</v>
      </c>
      <c r="H33" s="20" t="s">
        <v>629</v>
      </c>
      <c r="I33" s="20" t="s">
        <v>140</v>
      </c>
    </row>
    <row r="34" spans="1:9" s="20" customFormat="1" x14ac:dyDescent="0.25">
      <c r="A34" s="20" t="s">
        <v>630</v>
      </c>
      <c r="B34" s="20" t="s">
        <v>553</v>
      </c>
      <c r="C34" s="20" t="s">
        <v>265</v>
      </c>
      <c r="D34" s="20" t="s">
        <v>631</v>
      </c>
      <c r="H34" s="20" t="s">
        <v>632</v>
      </c>
      <c r="I34" s="20" t="s">
        <v>140</v>
      </c>
    </row>
    <row r="35" spans="1:9" s="20" customFormat="1" x14ac:dyDescent="0.25">
      <c r="A35" s="20" t="s">
        <v>633</v>
      </c>
      <c r="B35" s="20" t="s">
        <v>553</v>
      </c>
      <c r="C35" s="20" t="s">
        <v>265</v>
      </c>
      <c r="D35" s="20" t="s">
        <v>634</v>
      </c>
      <c r="H35" s="20" t="s">
        <v>632</v>
      </c>
      <c r="I35" s="20" t="s">
        <v>149</v>
      </c>
    </row>
    <row r="36" spans="1:9" s="20" customFormat="1" x14ac:dyDescent="0.25">
      <c r="A36" s="20" t="s">
        <v>635</v>
      </c>
      <c r="B36" s="20" t="s">
        <v>553</v>
      </c>
      <c r="C36" s="20" t="s">
        <v>265</v>
      </c>
      <c r="D36" s="20" t="s">
        <v>631</v>
      </c>
      <c r="H36" s="20" t="s">
        <v>632</v>
      </c>
      <c r="I36" s="20" t="s">
        <v>149</v>
      </c>
    </row>
    <row r="37" spans="1:9" s="20" customFormat="1" x14ac:dyDescent="0.25">
      <c r="A37" s="20" t="s">
        <v>636</v>
      </c>
      <c r="B37" s="20" t="s">
        <v>553</v>
      </c>
      <c r="C37" s="20" t="s">
        <v>265</v>
      </c>
      <c r="D37" s="20" t="s">
        <v>554</v>
      </c>
      <c r="H37" s="20" t="s">
        <v>632</v>
      </c>
      <c r="I37" s="20" t="s">
        <v>149</v>
      </c>
    </row>
    <row r="38" spans="1:9" s="20" customFormat="1" x14ac:dyDescent="0.25">
      <c r="A38" s="20" t="s">
        <v>637</v>
      </c>
      <c r="B38" s="20" t="s">
        <v>553</v>
      </c>
      <c r="C38" s="20" t="s">
        <v>265</v>
      </c>
      <c r="D38" s="20" t="s">
        <v>638</v>
      </c>
      <c r="H38" s="20" t="s">
        <v>632</v>
      </c>
      <c r="I38" s="20" t="s">
        <v>149</v>
      </c>
    </row>
    <row r="39" spans="1:9" s="20" customFormat="1" x14ac:dyDescent="0.25">
      <c r="A39" s="20" t="s">
        <v>639</v>
      </c>
      <c r="B39" s="20" t="s">
        <v>553</v>
      </c>
      <c r="C39" s="20" t="s">
        <v>265</v>
      </c>
      <c r="H39" s="20" t="s">
        <v>632</v>
      </c>
      <c r="I39" s="20" t="s">
        <v>149</v>
      </c>
    </row>
    <row r="40" spans="1:9" s="20" customFormat="1" x14ac:dyDescent="0.25">
      <c r="A40" s="20" t="s">
        <v>640</v>
      </c>
      <c r="B40" s="20" t="s">
        <v>553</v>
      </c>
      <c r="C40" s="20" t="s">
        <v>265</v>
      </c>
      <c r="H40" s="20" t="s">
        <v>632</v>
      </c>
      <c r="I40" s="20" t="s">
        <v>149</v>
      </c>
    </row>
    <row r="41" spans="1:9" s="20" customFormat="1" x14ac:dyDescent="0.25">
      <c r="A41" s="20" t="s">
        <v>641</v>
      </c>
      <c r="B41" s="20" t="s">
        <v>553</v>
      </c>
      <c r="C41" s="20" t="s">
        <v>265</v>
      </c>
      <c r="H41" s="20" t="s">
        <v>632</v>
      </c>
      <c r="I41" s="20" t="s">
        <v>149</v>
      </c>
    </row>
    <row r="42" spans="1:9" s="20" customFormat="1" x14ac:dyDescent="0.25">
      <c r="A42" s="20" t="s">
        <v>642</v>
      </c>
      <c r="B42" s="20" t="s">
        <v>553</v>
      </c>
      <c r="C42" s="20" t="s">
        <v>265</v>
      </c>
      <c r="H42" s="20" t="s">
        <v>632</v>
      </c>
      <c r="I42" s="20" t="s">
        <v>149</v>
      </c>
    </row>
    <row r="43" spans="1:9" s="20" customFormat="1" x14ac:dyDescent="0.25">
      <c r="A43" s="20" t="s">
        <v>643</v>
      </c>
      <c r="B43" s="20" t="s">
        <v>553</v>
      </c>
      <c r="C43" s="20" t="s">
        <v>265</v>
      </c>
      <c r="H43" s="20" t="s">
        <v>632</v>
      </c>
      <c r="I43" s="20" t="s">
        <v>149</v>
      </c>
    </row>
    <row r="44" spans="1:9" s="20" customFormat="1" x14ac:dyDescent="0.25">
      <c r="A44" s="20" t="s">
        <v>644</v>
      </c>
      <c r="B44" s="20" t="s">
        <v>553</v>
      </c>
      <c r="C44" s="20" t="s">
        <v>265</v>
      </c>
      <c r="H44" s="20" t="s">
        <v>632</v>
      </c>
      <c r="I44" s="20" t="s">
        <v>149</v>
      </c>
    </row>
    <row r="45" spans="1:9" s="20" customFormat="1" x14ac:dyDescent="0.25">
      <c r="A45" s="20" t="s">
        <v>645</v>
      </c>
      <c r="B45" s="20" t="s">
        <v>553</v>
      </c>
      <c r="C45" s="20" t="s">
        <v>265</v>
      </c>
      <c r="H45" s="20" t="s">
        <v>632</v>
      </c>
      <c r="I45" s="20" t="s">
        <v>149</v>
      </c>
    </row>
    <row r="46" spans="1:9" s="20" customFormat="1" x14ac:dyDescent="0.25">
      <c r="A46" s="20" t="s">
        <v>646</v>
      </c>
      <c r="B46" s="20" t="s">
        <v>553</v>
      </c>
      <c r="C46" s="20" t="s">
        <v>265</v>
      </c>
      <c r="H46" s="20" t="s">
        <v>632</v>
      </c>
      <c r="I46" s="20" t="s">
        <v>149</v>
      </c>
    </row>
    <row r="47" spans="1:9" s="20" customFormat="1" x14ac:dyDescent="0.25">
      <c r="A47" s="20" t="s">
        <v>647</v>
      </c>
      <c r="B47" s="20" t="s">
        <v>553</v>
      </c>
      <c r="C47" s="20" t="s">
        <v>265</v>
      </c>
      <c r="H47" s="20" t="s">
        <v>648</v>
      </c>
      <c r="I47" s="20" t="s">
        <v>149</v>
      </c>
    </row>
    <row r="48" spans="1:9" s="20" customFormat="1" x14ac:dyDescent="0.25">
      <c r="A48" s="20" t="s">
        <v>649</v>
      </c>
      <c r="B48" s="20" t="s">
        <v>650</v>
      </c>
      <c r="C48" s="20" t="s">
        <v>265</v>
      </c>
      <c r="H48" s="20" t="s">
        <v>651</v>
      </c>
      <c r="I48" s="20" t="s">
        <v>149</v>
      </c>
    </row>
    <row r="49" spans="1:9" s="20" customFormat="1" x14ac:dyDescent="0.25">
      <c r="A49" s="20" t="s">
        <v>652</v>
      </c>
      <c r="B49" s="20" t="s">
        <v>650</v>
      </c>
      <c r="C49" s="20" t="s">
        <v>265</v>
      </c>
      <c r="H49" s="20" t="s">
        <v>651</v>
      </c>
      <c r="I49" s="20" t="s">
        <v>149</v>
      </c>
    </row>
    <row r="50" spans="1:9" s="20" customFormat="1" x14ac:dyDescent="0.25">
      <c r="A50" s="20" t="s">
        <v>653</v>
      </c>
      <c r="B50" s="20" t="s">
        <v>650</v>
      </c>
      <c r="C50" s="20" t="s">
        <v>265</v>
      </c>
      <c r="H50" s="20" t="s">
        <v>651</v>
      </c>
      <c r="I50" s="20" t="s">
        <v>149</v>
      </c>
    </row>
    <row r="51" spans="1:9" s="20" customFormat="1" x14ac:dyDescent="0.25">
      <c r="A51" s="20" t="s">
        <v>654</v>
      </c>
      <c r="B51" s="20" t="s">
        <v>650</v>
      </c>
      <c r="C51" s="20" t="s">
        <v>265</v>
      </c>
      <c r="H51" s="20" t="s">
        <v>651</v>
      </c>
      <c r="I51" s="20" t="s">
        <v>149</v>
      </c>
    </row>
    <row r="52" spans="1:9" s="20" customFormat="1" x14ac:dyDescent="0.25">
      <c r="A52" s="20" t="s">
        <v>655</v>
      </c>
      <c r="B52" s="20" t="s">
        <v>553</v>
      </c>
      <c r="C52" s="20" t="s">
        <v>265</v>
      </c>
      <c r="D52" s="20" t="s">
        <v>656</v>
      </c>
      <c r="H52" s="20" t="s">
        <v>657</v>
      </c>
      <c r="I52" s="20" t="s">
        <v>140</v>
      </c>
    </row>
    <row r="53" spans="1:9" s="20" customFormat="1" x14ac:dyDescent="0.25">
      <c r="A53" s="20" t="s">
        <v>658</v>
      </c>
      <c r="B53" s="20" t="s">
        <v>553</v>
      </c>
      <c r="C53" s="20" t="s">
        <v>265</v>
      </c>
      <c r="D53" s="20" t="s">
        <v>659</v>
      </c>
      <c r="H53" s="20" t="s">
        <v>660</v>
      </c>
      <c r="I53" s="20" t="s">
        <v>140</v>
      </c>
    </row>
    <row r="54" spans="1:9" s="20" customFormat="1" x14ac:dyDescent="0.25">
      <c r="A54" s="20" t="s">
        <v>661</v>
      </c>
      <c r="B54" s="20" t="s">
        <v>662</v>
      </c>
      <c r="C54" s="20" t="s">
        <v>265</v>
      </c>
      <c r="D54" s="20" t="s">
        <v>663</v>
      </c>
      <c r="H54" s="20" t="s">
        <v>558</v>
      </c>
      <c r="I54" s="20" t="s">
        <v>149</v>
      </c>
    </row>
    <row r="55" spans="1:9" s="20" customFormat="1" x14ac:dyDescent="0.25">
      <c r="A55" s="20" t="s">
        <v>664</v>
      </c>
      <c r="B55" s="20" t="s">
        <v>665</v>
      </c>
      <c r="C55" s="20" t="s">
        <v>265</v>
      </c>
      <c r="D55" s="20" t="s">
        <v>666</v>
      </c>
      <c r="H55" s="20" t="s">
        <v>667</v>
      </c>
      <c r="I55" s="20" t="s">
        <v>140</v>
      </c>
    </row>
    <row r="56" spans="1:9" s="20" customFormat="1" x14ac:dyDescent="0.25">
      <c r="A56" s="20" t="s">
        <v>668</v>
      </c>
      <c r="B56" s="20" t="s">
        <v>665</v>
      </c>
      <c r="C56" s="20" t="s">
        <v>265</v>
      </c>
      <c r="D56" s="20" t="s">
        <v>669</v>
      </c>
      <c r="H56" s="20" t="s">
        <v>670</v>
      </c>
      <c r="I56" s="20" t="s">
        <v>140</v>
      </c>
    </row>
    <row r="57" spans="1:9" s="20" customFormat="1" x14ac:dyDescent="0.25">
      <c r="A57" s="20" t="s">
        <v>671</v>
      </c>
      <c r="B57" s="20" t="s">
        <v>553</v>
      </c>
      <c r="C57" s="20" t="s">
        <v>265</v>
      </c>
      <c r="H57" s="20" t="s">
        <v>672</v>
      </c>
      <c r="I57" s="20" t="s">
        <v>149</v>
      </c>
    </row>
    <row r="58" spans="1:9" s="20" customFormat="1" x14ac:dyDescent="0.25">
      <c r="A58" s="20" t="s">
        <v>673</v>
      </c>
      <c r="B58" s="20" t="s">
        <v>553</v>
      </c>
      <c r="C58" s="20" t="s">
        <v>265</v>
      </c>
      <c r="H58" s="20" t="s">
        <v>672</v>
      </c>
      <c r="I58" s="20" t="s">
        <v>149</v>
      </c>
    </row>
    <row r="59" spans="1:9" s="20" customFormat="1" x14ac:dyDescent="0.25">
      <c r="A59" s="20" t="s">
        <v>674</v>
      </c>
      <c r="B59" s="20" t="s">
        <v>553</v>
      </c>
      <c r="C59" s="20" t="s">
        <v>265</v>
      </c>
      <c r="H59" s="20" t="s">
        <v>672</v>
      </c>
      <c r="I59" s="20" t="s">
        <v>149</v>
      </c>
    </row>
    <row r="60" spans="1:9" s="20" customFormat="1" x14ac:dyDescent="0.25">
      <c r="A60" s="20" t="s">
        <v>675</v>
      </c>
      <c r="B60" s="20" t="s">
        <v>553</v>
      </c>
      <c r="C60" s="20" t="s">
        <v>265</v>
      </c>
      <c r="H60" s="20" t="s">
        <v>672</v>
      </c>
      <c r="I60" s="20" t="s">
        <v>149</v>
      </c>
    </row>
    <row r="61" spans="1:9" s="20" customFormat="1" x14ac:dyDescent="0.25">
      <c r="A61" s="20" t="s">
        <v>676</v>
      </c>
      <c r="B61" s="20" t="s">
        <v>553</v>
      </c>
      <c r="C61" s="20" t="s">
        <v>265</v>
      </c>
      <c r="H61" s="20" t="s">
        <v>672</v>
      </c>
      <c r="I61" s="20" t="s">
        <v>149</v>
      </c>
    </row>
    <row r="62" spans="1:9" s="20" customFormat="1" x14ac:dyDescent="0.25">
      <c r="A62" s="20" t="s">
        <v>677</v>
      </c>
      <c r="B62" s="20" t="s">
        <v>553</v>
      </c>
      <c r="C62" s="20" t="s">
        <v>265</v>
      </c>
      <c r="H62" s="20" t="s">
        <v>672</v>
      </c>
      <c r="I62" s="20" t="s">
        <v>149</v>
      </c>
    </row>
    <row r="63" spans="1:9" s="20" customFormat="1" x14ac:dyDescent="0.25">
      <c r="A63" s="20" t="s">
        <v>678</v>
      </c>
      <c r="B63" s="20" t="s">
        <v>553</v>
      </c>
      <c r="C63" s="20" t="s">
        <v>265</v>
      </c>
      <c r="H63" s="20" t="s">
        <v>672</v>
      </c>
      <c r="I63" s="20" t="s">
        <v>149</v>
      </c>
    </row>
    <row r="64" spans="1:9" s="20" customFormat="1" x14ac:dyDescent="0.25">
      <c r="A64" s="20" t="s">
        <v>679</v>
      </c>
      <c r="B64" s="20" t="s">
        <v>553</v>
      </c>
      <c r="C64" s="20" t="s">
        <v>265</v>
      </c>
      <c r="H64" s="20" t="s">
        <v>672</v>
      </c>
      <c r="I64" s="20" t="s">
        <v>149</v>
      </c>
    </row>
    <row r="65" spans="1:9" s="20" customFormat="1" x14ac:dyDescent="0.25">
      <c r="A65" s="20" t="s">
        <v>680</v>
      </c>
      <c r="B65" s="20" t="s">
        <v>553</v>
      </c>
      <c r="C65" s="20" t="s">
        <v>265</v>
      </c>
      <c r="H65" s="20" t="s">
        <v>672</v>
      </c>
      <c r="I65" s="20" t="s">
        <v>149</v>
      </c>
    </row>
    <row r="66" spans="1:9" s="20" customFormat="1" x14ac:dyDescent="0.25">
      <c r="A66" s="20" t="s">
        <v>681</v>
      </c>
      <c r="B66" s="20" t="s">
        <v>553</v>
      </c>
      <c r="C66" s="20" t="s">
        <v>265</v>
      </c>
      <c r="H66" s="20" t="s">
        <v>672</v>
      </c>
      <c r="I66" s="20" t="s">
        <v>149</v>
      </c>
    </row>
    <row r="67" spans="1:9" s="20" customFormat="1" x14ac:dyDescent="0.25">
      <c r="A67" s="20" t="s">
        <v>682</v>
      </c>
      <c r="B67" s="20" t="s">
        <v>553</v>
      </c>
      <c r="C67" s="20" t="s">
        <v>265</v>
      </c>
      <c r="H67" s="20" t="s">
        <v>672</v>
      </c>
      <c r="I67" s="20" t="s">
        <v>149</v>
      </c>
    </row>
    <row r="68" spans="1:9" s="20" customFormat="1" x14ac:dyDescent="0.25">
      <c r="A68" s="20" t="s">
        <v>683</v>
      </c>
      <c r="B68" s="20" t="s">
        <v>553</v>
      </c>
      <c r="C68" s="20" t="s">
        <v>265</v>
      </c>
      <c r="H68" s="20" t="s">
        <v>672</v>
      </c>
      <c r="I68" s="20" t="s">
        <v>149</v>
      </c>
    </row>
    <row r="69" spans="1:9" s="20" customFormat="1" x14ac:dyDescent="0.25">
      <c r="A69" s="20" t="s">
        <v>684</v>
      </c>
      <c r="B69" s="20" t="s">
        <v>553</v>
      </c>
      <c r="C69" s="20" t="s">
        <v>265</v>
      </c>
      <c r="H69" s="20" t="s">
        <v>672</v>
      </c>
      <c r="I69" s="20" t="s">
        <v>149</v>
      </c>
    </row>
    <row r="70" spans="1:9" s="20" customFormat="1" x14ac:dyDescent="0.25">
      <c r="A70" s="20" t="s">
        <v>685</v>
      </c>
      <c r="B70" s="20" t="s">
        <v>553</v>
      </c>
      <c r="C70" s="20" t="s">
        <v>265</v>
      </c>
      <c r="H70" s="20" t="s">
        <v>672</v>
      </c>
      <c r="I70" s="20" t="s">
        <v>149</v>
      </c>
    </row>
    <row r="71" spans="1:9" s="20" customFormat="1" x14ac:dyDescent="0.25">
      <c r="A71" s="20" t="s">
        <v>686</v>
      </c>
      <c r="B71" s="20" t="s">
        <v>650</v>
      </c>
      <c r="C71" s="20" t="s">
        <v>265</v>
      </c>
      <c r="H71" s="20" t="s">
        <v>672</v>
      </c>
      <c r="I71" s="20" t="s">
        <v>149</v>
      </c>
    </row>
    <row r="72" spans="1:9" s="20" customFormat="1" x14ac:dyDescent="0.25">
      <c r="A72" s="20" t="s">
        <v>687</v>
      </c>
      <c r="B72" s="20" t="s">
        <v>650</v>
      </c>
      <c r="C72" s="20" t="s">
        <v>265</v>
      </c>
      <c r="H72" s="20" t="s">
        <v>672</v>
      </c>
      <c r="I72" s="20" t="s">
        <v>149</v>
      </c>
    </row>
    <row r="73" spans="1:9" s="20" customFormat="1" x14ac:dyDescent="0.25">
      <c r="A73" s="20" t="s">
        <v>688</v>
      </c>
      <c r="B73" s="20" t="s">
        <v>650</v>
      </c>
      <c r="C73" s="20" t="s">
        <v>265</v>
      </c>
      <c r="H73" s="20" t="s">
        <v>672</v>
      </c>
      <c r="I73" s="20" t="s">
        <v>149</v>
      </c>
    </row>
    <row r="74" spans="1:9" s="20" customFormat="1" x14ac:dyDescent="0.25">
      <c r="A74" s="20" t="s">
        <v>689</v>
      </c>
      <c r="B74" s="20" t="s">
        <v>650</v>
      </c>
      <c r="C74" s="20" t="s">
        <v>265</v>
      </c>
      <c r="H74" s="20" t="s">
        <v>672</v>
      </c>
      <c r="I74" s="20" t="s">
        <v>149</v>
      </c>
    </row>
    <row r="75" spans="1:9" s="20" customFormat="1" x14ac:dyDescent="0.25">
      <c r="A75" s="20" t="s">
        <v>690</v>
      </c>
      <c r="B75" s="20" t="s">
        <v>553</v>
      </c>
      <c r="C75" s="20" t="s">
        <v>265</v>
      </c>
      <c r="H75" s="20" t="s">
        <v>672</v>
      </c>
      <c r="I75" s="20" t="s">
        <v>149</v>
      </c>
    </row>
    <row r="76" spans="1:9" s="20" customFormat="1" x14ac:dyDescent="0.25">
      <c r="A76" s="20" t="s">
        <v>691</v>
      </c>
      <c r="B76" s="20" t="s">
        <v>553</v>
      </c>
      <c r="C76" s="20" t="s">
        <v>265</v>
      </c>
      <c r="H76" s="20" t="s">
        <v>672</v>
      </c>
      <c r="I76" s="20" t="s">
        <v>149</v>
      </c>
    </row>
    <row r="77" spans="1:9" s="20" customFormat="1" x14ac:dyDescent="0.25">
      <c r="A77" s="20" t="s">
        <v>692</v>
      </c>
      <c r="B77" s="20" t="s">
        <v>553</v>
      </c>
      <c r="C77" s="20" t="s">
        <v>265</v>
      </c>
      <c r="H77" s="20" t="s">
        <v>672</v>
      </c>
      <c r="I77" s="20" t="s">
        <v>149</v>
      </c>
    </row>
    <row r="78" spans="1:9" s="20" customFormat="1" x14ac:dyDescent="0.25">
      <c r="A78" s="20" t="s">
        <v>693</v>
      </c>
      <c r="B78" s="20" t="s">
        <v>553</v>
      </c>
      <c r="C78" s="20" t="s">
        <v>265</v>
      </c>
      <c r="H78" s="20" t="s">
        <v>672</v>
      </c>
      <c r="I78" s="20" t="s">
        <v>149</v>
      </c>
    </row>
    <row r="79" spans="1:9" s="20" customFormat="1" x14ac:dyDescent="0.25">
      <c r="A79" s="20" t="s">
        <v>694</v>
      </c>
      <c r="B79" s="20" t="s">
        <v>553</v>
      </c>
      <c r="C79" s="20" t="s">
        <v>265</v>
      </c>
      <c r="H79" s="20" t="s">
        <v>672</v>
      </c>
      <c r="I79" s="20" t="s">
        <v>149</v>
      </c>
    </row>
    <row r="80" spans="1:9" s="20" customFormat="1" x14ac:dyDescent="0.25">
      <c r="A80" s="20" t="s">
        <v>695</v>
      </c>
      <c r="B80" s="20" t="s">
        <v>553</v>
      </c>
      <c r="C80" s="20" t="s">
        <v>265</v>
      </c>
      <c r="H80" s="20" t="s">
        <v>672</v>
      </c>
      <c r="I80" s="20" t="s">
        <v>149</v>
      </c>
    </row>
    <row r="81" spans="1:9" s="20" customFormat="1" x14ac:dyDescent="0.25">
      <c r="A81" s="20" t="s">
        <v>696</v>
      </c>
      <c r="B81" s="20" t="s">
        <v>553</v>
      </c>
      <c r="C81" s="20" t="s">
        <v>265</v>
      </c>
      <c r="H81" s="20" t="s">
        <v>672</v>
      </c>
      <c r="I81" s="20" t="s">
        <v>149</v>
      </c>
    </row>
    <row r="82" spans="1:9" s="20" customFormat="1" x14ac:dyDescent="0.25">
      <c r="A82" s="20" t="s">
        <v>697</v>
      </c>
      <c r="B82" s="20" t="s">
        <v>553</v>
      </c>
      <c r="C82" s="20" t="s">
        <v>265</v>
      </c>
      <c r="H82" s="20" t="s">
        <v>672</v>
      </c>
      <c r="I82" s="20" t="s">
        <v>149</v>
      </c>
    </row>
    <row r="83" spans="1:9" s="20" customFormat="1" x14ac:dyDescent="0.25">
      <c r="A83" s="20" t="s">
        <v>698</v>
      </c>
      <c r="B83" s="20" t="s">
        <v>553</v>
      </c>
      <c r="C83" s="20" t="s">
        <v>265</v>
      </c>
      <c r="H83" s="20" t="s">
        <v>672</v>
      </c>
      <c r="I83" s="20" t="s">
        <v>149</v>
      </c>
    </row>
    <row r="84" spans="1:9" s="20" customFormat="1" x14ac:dyDescent="0.25">
      <c r="A84" s="20" t="s">
        <v>699</v>
      </c>
      <c r="B84" s="20" t="s">
        <v>553</v>
      </c>
      <c r="C84" s="20" t="s">
        <v>265</v>
      </c>
      <c r="H84" s="20" t="s">
        <v>672</v>
      </c>
      <c r="I84" s="20" t="s">
        <v>149</v>
      </c>
    </row>
    <row r="85" spans="1:9" s="20" customFormat="1" x14ac:dyDescent="0.25">
      <c r="A85" s="20" t="s">
        <v>700</v>
      </c>
      <c r="B85" s="20" t="s">
        <v>553</v>
      </c>
      <c r="C85" s="20" t="s">
        <v>265</v>
      </c>
      <c r="H85" s="20" t="s">
        <v>672</v>
      </c>
      <c r="I85" s="20" t="s">
        <v>149</v>
      </c>
    </row>
    <row r="86" spans="1:9" s="20" customFormat="1" x14ac:dyDescent="0.25">
      <c r="A86" s="20" t="s">
        <v>701</v>
      </c>
      <c r="B86" s="20" t="s">
        <v>553</v>
      </c>
      <c r="C86" s="20" t="s">
        <v>265</v>
      </c>
      <c r="H86" s="20" t="s">
        <v>672</v>
      </c>
      <c r="I86" s="20" t="s">
        <v>149</v>
      </c>
    </row>
    <row r="87" spans="1:9" s="20" customFormat="1" x14ac:dyDescent="0.25">
      <c r="A87" s="20" t="s">
        <v>702</v>
      </c>
      <c r="B87" s="20" t="s">
        <v>553</v>
      </c>
      <c r="C87" s="20" t="s">
        <v>265</v>
      </c>
      <c r="H87" s="20" t="s">
        <v>672</v>
      </c>
      <c r="I87" s="20" t="s">
        <v>149</v>
      </c>
    </row>
    <row r="88" spans="1:9" s="20" customFormat="1" x14ac:dyDescent="0.25">
      <c r="A88" s="20" t="s">
        <v>703</v>
      </c>
      <c r="B88" s="20" t="s">
        <v>553</v>
      </c>
      <c r="C88" s="20" t="s">
        <v>265</v>
      </c>
      <c r="H88" s="20" t="s">
        <v>672</v>
      </c>
      <c r="I88" s="20" t="s">
        <v>149</v>
      </c>
    </row>
    <row r="89" spans="1:9" s="20" customFormat="1" x14ac:dyDescent="0.25">
      <c r="A89" s="20" t="s">
        <v>704</v>
      </c>
      <c r="B89" s="20" t="s">
        <v>553</v>
      </c>
      <c r="C89" s="20" t="s">
        <v>265</v>
      </c>
      <c r="H89" s="20" t="s">
        <v>672</v>
      </c>
      <c r="I89" s="20" t="s">
        <v>149</v>
      </c>
    </row>
    <row r="90" spans="1:9" s="20" customFormat="1" x14ac:dyDescent="0.25">
      <c r="A90" s="20" t="s">
        <v>705</v>
      </c>
      <c r="B90" s="20" t="s">
        <v>650</v>
      </c>
      <c r="C90" s="20" t="s">
        <v>265</v>
      </c>
      <c r="H90" s="20" t="s">
        <v>672</v>
      </c>
      <c r="I90" s="20" t="s">
        <v>149</v>
      </c>
    </row>
    <row r="91" spans="1:9" s="20" customFormat="1" x14ac:dyDescent="0.25">
      <c r="A91" s="20" t="s">
        <v>706</v>
      </c>
      <c r="B91" s="20" t="s">
        <v>650</v>
      </c>
      <c r="C91" s="20" t="s">
        <v>265</v>
      </c>
      <c r="H91" s="20" t="s">
        <v>672</v>
      </c>
      <c r="I91" s="20" t="s">
        <v>149</v>
      </c>
    </row>
    <row r="92" spans="1:9" s="20" customFormat="1" x14ac:dyDescent="0.25">
      <c r="A92" s="20" t="s">
        <v>707</v>
      </c>
      <c r="B92" s="20" t="s">
        <v>650</v>
      </c>
      <c r="C92" s="20" t="s">
        <v>265</v>
      </c>
      <c r="H92" s="20" t="s">
        <v>672</v>
      </c>
      <c r="I92" s="20" t="s">
        <v>149</v>
      </c>
    </row>
    <row r="93" spans="1:9" s="20" customFormat="1" x14ac:dyDescent="0.25">
      <c r="A93" s="20" t="s">
        <v>708</v>
      </c>
      <c r="B93" s="20" t="s">
        <v>650</v>
      </c>
      <c r="C93" s="20" t="s">
        <v>265</v>
      </c>
      <c r="H93" s="20" t="s">
        <v>672</v>
      </c>
      <c r="I93" s="20" t="s">
        <v>149</v>
      </c>
    </row>
    <row r="94" spans="1:9" s="20" customFormat="1" x14ac:dyDescent="0.25">
      <c r="A94" s="20" t="s">
        <v>709</v>
      </c>
      <c r="B94" s="20" t="s">
        <v>553</v>
      </c>
      <c r="C94" s="20" t="s">
        <v>265</v>
      </c>
      <c r="H94" s="20" t="s">
        <v>672</v>
      </c>
      <c r="I94" s="20" t="s">
        <v>149</v>
      </c>
    </row>
    <row r="100" spans="1:2" x14ac:dyDescent="0.25">
      <c r="A100" s="5"/>
    </row>
    <row r="101" spans="1:2" x14ac:dyDescent="0.25">
      <c r="A101" s="5"/>
      <c r="B101" s="5"/>
    </row>
    <row r="102" spans="1:2" x14ac:dyDescent="0.25">
      <c r="A102" s="5"/>
      <c r="B102" s="5"/>
    </row>
    <row r="103" spans="1:2" x14ac:dyDescent="0.25">
      <c r="A103" s="5"/>
      <c r="B103" s="5"/>
    </row>
    <row r="104" spans="1:2" x14ac:dyDescent="0.25">
      <c r="A104" s="19"/>
      <c r="B104" s="5"/>
    </row>
    <row r="105" spans="1:2" x14ac:dyDescent="0.25">
      <c r="A105" s="5"/>
    </row>
    <row r="106" spans="1:2" x14ac:dyDescent="0.25">
      <c r="A106" s="5"/>
    </row>
    <row r="107" spans="1:2" x14ac:dyDescent="0.25">
      <c r="A107" s="5"/>
    </row>
  </sheetData>
  <conditionalFormatting sqref="A3:I94">
    <cfRule type="expression" dxfId="21" priority="23">
      <formula>$I3="Grå"</formula>
    </cfRule>
    <cfRule type="expression" dxfId="20" priority="24">
      <formula>$I3="Svart"</formula>
    </cfRule>
  </conditionalFormatting>
  <hyperlinks>
    <hyperlink ref="D27" r:id="rId1" xr:uid="{763A1815-DD35-42AE-9E2E-939F9C99C81C}"/>
  </hyperlinks>
  <pageMargins left="0.7" right="0.7" top="0.75" bottom="0.75" header="0.3" footer="0.3"/>
  <pageSetup paperSize="9" orientation="portrait" horizontalDpi="300" verticalDpi="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C2A20-07D7-4445-A947-EDB272977D9C}">
  <sheetPr>
    <tabColor rgb="FF6D9CFB"/>
  </sheetPr>
  <dimension ref="A1:K82"/>
  <sheetViews>
    <sheetView zoomScaleNormal="100" workbookViewId="0">
      <selection activeCell="A3" sqref="A3:B23"/>
    </sheetView>
  </sheetViews>
  <sheetFormatPr defaultColWidth="9.140625" defaultRowHeight="15" x14ac:dyDescent="0.25"/>
  <cols>
    <col min="1" max="1" width="64" bestFit="1" customWidth="1"/>
    <col min="2" max="2" width="17" bestFit="1" customWidth="1"/>
    <col min="3" max="3" width="12.5703125" customWidth="1"/>
    <col min="4" max="4" width="55.28515625" customWidth="1"/>
    <col min="5" max="5" width="16.7109375" customWidth="1"/>
    <col min="6" max="6" width="13.28515625" customWidth="1"/>
    <col min="7" max="7" width="18.140625" customWidth="1"/>
    <col min="8" max="8" width="46.7109375" customWidth="1"/>
    <col min="9" max="9" width="16.7109375" customWidth="1"/>
  </cols>
  <sheetData>
    <row r="1" spans="1:10" ht="21" x14ac:dyDescent="0.35">
      <c r="A1" s="2" t="s">
        <v>63</v>
      </c>
    </row>
    <row r="2" spans="1:10" x14ac:dyDescent="0.25">
      <c r="A2" s="3" t="s">
        <v>32</v>
      </c>
      <c r="B2" s="3" t="s">
        <v>36</v>
      </c>
      <c r="C2" s="3" t="s">
        <v>40</v>
      </c>
      <c r="D2" s="3" t="s">
        <v>44</v>
      </c>
      <c r="E2" s="3" t="s">
        <v>49</v>
      </c>
      <c r="F2" s="3" t="s">
        <v>53</v>
      </c>
      <c r="G2" s="3" t="s">
        <v>57</v>
      </c>
      <c r="H2" s="3" t="s">
        <v>61</v>
      </c>
      <c r="I2" s="3" t="s">
        <v>65</v>
      </c>
    </row>
    <row r="3" spans="1:10" s="20" customFormat="1" ht="15" customHeight="1" x14ac:dyDescent="0.25">
      <c r="A3" s="20" t="s">
        <v>710</v>
      </c>
      <c r="B3" s="20" t="s">
        <v>136</v>
      </c>
      <c r="C3" s="20" t="s">
        <v>265</v>
      </c>
      <c r="D3" s="20" t="s">
        <v>711</v>
      </c>
      <c r="H3" s="20" t="s">
        <v>712</v>
      </c>
      <c r="I3" s="20" t="s">
        <v>140</v>
      </c>
      <c r="J3" s="31"/>
    </row>
    <row r="4" spans="1:10" s="20" customFormat="1" ht="15" customHeight="1" x14ac:dyDescent="0.25">
      <c r="A4" s="20" t="s">
        <v>713</v>
      </c>
      <c r="B4" s="20" t="s">
        <v>331</v>
      </c>
      <c r="C4" s="20" t="s">
        <v>265</v>
      </c>
      <c r="D4" s="20">
        <v>3690</v>
      </c>
      <c r="H4" s="20" t="s">
        <v>714</v>
      </c>
      <c r="I4" s="20" t="s">
        <v>140</v>
      </c>
      <c r="J4" s="31"/>
    </row>
    <row r="5" spans="1:10" s="20" customFormat="1" ht="15" customHeight="1" x14ac:dyDescent="0.25">
      <c r="A5" s="20" t="s">
        <v>715</v>
      </c>
      <c r="B5" s="20" t="s">
        <v>331</v>
      </c>
      <c r="C5" s="20" t="s">
        <v>265</v>
      </c>
      <c r="D5" s="20">
        <v>3246</v>
      </c>
      <c r="H5" s="20" t="s">
        <v>716</v>
      </c>
      <c r="I5" s="20" t="s">
        <v>140</v>
      </c>
      <c r="J5" s="31"/>
    </row>
    <row r="6" spans="1:10" s="20" customFormat="1" ht="15" customHeight="1" x14ac:dyDescent="0.25">
      <c r="A6" s="20" t="s">
        <v>717</v>
      </c>
      <c r="B6" s="20" t="s">
        <v>331</v>
      </c>
      <c r="C6" s="20" t="s">
        <v>265</v>
      </c>
      <c r="D6" s="20">
        <v>3137</v>
      </c>
      <c r="H6" s="20" t="s">
        <v>718</v>
      </c>
      <c r="I6" s="20" t="s">
        <v>140</v>
      </c>
      <c r="J6" s="31"/>
    </row>
    <row r="7" spans="1:10" s="20" customFormat="1" ht="15" customHeight="1" x14ac:dyDescent="0.25">
      <c r="J7" s="31"/>
    </row>
    <row r="8" spans="1:10" s="20" customFormat="1" ht="15" customHeight="1" x14ac:dyDescent="0.25">
      <c r="A8" s="20" t="s">
        <v>719</v>
      </c>
      <c r="B8" s="20" t="s">
        <v>136</v>
      </c>
      <c r="C8" s="20" t="s">
        <v>265</v>
      </c>
      <c r="D8" s="20" t="s">
        <v>720</v>
      </c>
      <c r="H8" s="20" t="s">
        <v>721</v>
      </c>
      <c r="I8" s="20" t="s">
        <v>140</v>
      </c>
      <c r="J8" s="31"/>
    </row>
    <row r="9" spans="1:10" s="20" customFormat="1" ht="15" customHeight="1" x14ac:dyDescent="0.25">
      <c r="A9" s="20" t="s">
        <v>722</v>
      </c>
      <c r="B9" s="20" t="s">
        <v>136</v>
      </c>
      <c r="C9" s="20" t="s">
        <v>265</v>
      </c>
      <c r="D9" s="20" t="s">
        <v>723</v>
      </c>
      <c r="H9" s="20" t="s">
        <v>724</v>
      </c>
      <c r="I9" s="20" t="s">
        <v>140</v>
      </c>
      <c r="J9" s="31"/>
    </row>
    <row r="10" spans="1:10" s="20" customFormat="1" ht="15" customHeight="1" x14ac:dyDescent="0.25">
      <c r="J10" s="31"/>
    </row>
    <row r="11" spans="1:10" s="20" customFormat="1" ht="15" customHeight="1" x14ac:dyDescent="0.25">
      <c r="A11" s="20" t="s">
        <v>725</v>
      </c>
      <c r="B11" s="20" t="s">
        <v>331</v>
      </c>
      <c r="C11" s="20" t="s">
        <v>265</v>
      </c>
      <c r="D11" s="20">
        <v>150</v>
      </c>
      <c r="H11" s="20" t="s">
        <v>726</v>
      </c>
      <c r="I11" s="20" t="s">
        <v>140</v>
      </c>
      <c r="J11" s="31"/>
    </row>
    <row r="12" spans="1:10" s="20" customFormat="1" ht="14.25" customHeight="1" x14ac:dyDescent="0.25">
      <c r="A12" s="20" t="s">
        <v>727</v>
      </c>
      <c r="B12" s="20" t="s">
        <v>591</v>
      </c>
      <c r="C12" s="20" t="s">
        <v>265</v>
      </c>
      <c r="D12" s="20">
        <v>15</v>
      </c>
      <c r="H12" s="20" t="s">
        <v>728</v>
      </c>
      <c r="I12" s="20" t="s">
        <v>140</v>
      </c>
      <c r="J12" s="31"/>
    </row>
    <row r="13" spans="1:10" s="20" customFormat="1" ht="15" customHeight="1" x14ac:dyDescent="0.25">
      <c r="A13" s="20" t="s">
        <v>729</v>
      </c>
      <c r="B13" s="20" t="s">
        <v>136</v>
      </c>
      <c r="C13" s="20" t="s">
        <v>265</v>
      </c>
      <c r="D13" s="20" t="s">
        <v>730</v>
      </c>
      <c r="H13" s="20" t="s">
        <v>731</v>
      </c>
      <c r="I13" s="20" t="s">
        <v>140</v>
      </c>
      <c r="J13" s="31"/>
    </row>
    <row r="14" spans="1:10" s="20" customFormat="1" ht="15" customHeight="1" x14ac:dyDescent="0.25">
      <c r="A14" s="20" t="s">
        <v>732</v>
      </c>
      <c r="B14" s="20" t="s">
        <v>553</v>
      </c>
      <c r="C14" s="20" t="s">
        <v>265</v>
      </c>
      <c r="D14" s="20">
        <v>64000</v>
      </c>
      <c r="H14" s="20" t="s">
        <v>733</v>
      </c>
      <c r="I14" s="20" t="s">
        <v>149</v>
      </c>
      <c r="J14" s="31"/>
    </row>
    <row r="15" spans="1:10" s="20" customFormat="1" ht="15" customHeight="1" x14ac:dyDescent="0.25">
      <c r="A15" s="20" t="s">
        <v>734</v>
      </c>
      <c r="B15" s="20" t="s">
        <v>553</v>
      </c>
      <c r="C15" s="20" t="s">
        <v>265</v>
      </c>
      <c r="D15" s="20">
        <v>1000</v>
      </c>
      <c r="H15" s="20" t="s">
        <v>735</v>
      </c>
      <c r="I15" s="20" t="s">
        <v>140</v>
      </c>
      <c r="J15" s="31"/>
    </row>
    <row r="16" spans="1:10" s="20" customFormat="1" ht="15" customHeight="1" x14ac:dyDescent="0.25">
      <c r="A16" s="20" t="s">
        <v>736</v>
      </c>
      <c r="B16" s="20" t="s">
        <v>136</v>
      </c>
      <c r="C16" s="20" t="s">
        <v>265</v>
      </c>
      <c r="D16" s="20" t="s">
        <v>737</v>
      </c>
      <c r="H16" s="20" t="s">
        <v>738</v>
      </c>
      <c r="I16" s="20" t="s">
        <v>149</v>
      </c>
      <c r="J16" s="31"/>
    </row>
    <row r="17" spans="1:10" s="20" customFormat="1" ht="15" customHeight="1" x14ac:dyDescent="0.25">
      <c r="A17" s="20" t="s">
        <v>739</v>
      </c>
      <c r="B17" s="20" t="s">
        <v>331</v>
      </c>
      <c r="C17" s="20" t="s">
        <v>265</v>
      </c>
      <c r="D17" s="20">
        <v>22.71</v>
      </c>
      <c r="H17" s="20" t="s">
        <v>740</v>
      </c>
      <c r="I17" s="20" t="s">
        <v>149</v>
      </c>
      <c r="J17" s="31"/>
    </row>
    <row r="18" spans="1:10" s="20" customFormat="1" ht="15" customHeight="1" x14ac:dyDescent="0.25">
      <c r="J18" s="31"/>
    </row>
    <row r="19" spans="1:10" s="20" customFormat="1" ht="15" customHeight="1" x14ac:dyDescent="0.25">
      <c r="A19" s="20" t="s">
        <v>741</v>
      </c>
      <c r="B19" s="20" t="s">
        <v>136</v>
      </c>
      <c r="C19" s="20" t="s">
        <v>265</v>
      </c>
      <c r="D19" s="20" t="s">
        <v>742</v>
      </c>
      <c r="H19" s="20" t="s">
        <v>743</v>
      </c>
      <c r="I19" s="20" t="s">
        <v>140</v>
      </c>
      <c r="J19" s="31"/>
    </row>
    <row r="20" spans="1:10" s="20" customFormat="1" ht="15" customHeight="1" x14ac:dyDescent="0.25">
      <c r="A20" s="20" t="s">
        <v>744</v>
      </c>
      <c r="B20" s="20" t="s">
        <v>136</v>
      </c>
      <c r="C20" s="20" t="s">
        <v>265</v>
      </c>
      <c r="D20" s="20" t="s">
        <v>745</v>
      </c>
      <c r="H20" s="20" t="s">
        <v>743</v>
      </c>
      <c r="I20" s="20" t="s">
        <v>140</v>
      </c>
      <c r="J20" s="31"/>
    </row>
    <row r="21" spans="1:10" s="20" customFormat="1" ht="15" customHeight="1" x14ac:dyDescent="0.25">
      <c r="A21" s="20" t="s">
        <v>746</v>
      </c>
      <c r="B21" s="20" t="s">
        <v>136</v>
      </c>
      <c r="C21" s="20" t="s">
        <v>265</v>
      </c>
      <c r="D21" s="20" t="s">
        <v>580</v>
      </c>
      <c r="H21" s="20" t="s">
        <v>747</v>
      </c>
      <c r="I21" s="20" t="s">
        <v>149</v>
      </c>
      <c r="J21" s="31"/>
    </row>
    <row r="22" spans="1:10" s="20" customFormat="1" ht="15" customHeight="1" x14ac:dyDescent="0.25">
      <c r="A22" s="20" t="s">
        <v>748</v>
      </c>
      <c r="B22" s="20" t="s">
        <v>136</v>
      </c>
      <c r="C22" s="20" t="s">
        <v>265</v>
      </c>
      <c r="D22" s="31" t="s">
        <v>749</v>
      </c>
      <c r="H22" s="20" t="s">
        <v>750</v>
      </c>
      <c r="I22" s="20" t="s">
        <v>149</v>
      </c>
      <c r="J22" s="31"/>
    </row>
    <row r="23" spans="1:10" s="20" customFormat="1" ht="15" customHeight="1" x14ac:dyDescent="0.25">
      <c r="A23" s="20" t="s">
        <v>751</v>
      </c>
      <c r="B23" s="20" t="s">
        <v>136</v>
      </c>
      <c r="C23" s="20" t="s">
        <v>265</v>
      </c>
      <c r="D23" s="20" t="s">
        <v>752</v>
      </c>
      <c r="H23" s="20" t="s">
        <v>753</v>
      </c>
      <c r="I23" s="20" t="s">
        <v>149</v>
      </c>
      <c r="J23" s="31"/>
    </row>
    <row r="24" spans="1:10" ht="15" customHeight="1" x14ac:dyDescent="0.25">
      <c r="J24" s="1"/>
    </row>
    <row r="25" spans="1:10" ht="15" customHeight="1" x14ac:dyDescent="0.25">
      <c r="J25" s="1"/>
    </row>
    <row r="26" spans="1:10" ht="16.5" customHeight="1" x14ac:dyDescent="0.25">
      <c r="J26" s="1"/>
    </row>
    <row r="27" spans="1:10" x14ac:dyDescent="0.25">
      <c r="J27" s="1"/>
    </row>
    <row r="28" spans="1:10" x14ac:dyDescent="0.25">
      <c r="J28" s="1"/>
    </row>
    <row r="29" spans="1:10" x14ac:dyDescent="0.25">
      <c r="J29" s="1"/>
    </row>
    <row r="30" spans="1:10" x14ac:dyDescent="0.25">
      <c r="A30" s="5"/>
      <c r="J30" s="1"/>
    </row>
    <row r="31" spans="1:10" x14ac:dyDescent="0.25">
      <c r="B31" s="5"/>
      <c r="J31" s="1"/>
    </row>
    <row r="32" spans="1:10" x14ac:dyDescent="0.25">
      <c r="J32" s="1"/>
    </row>
    <row r="33" spans="11:11" x14ac:dyDescent="0.25">
      <c r="K33" t="str">
        <f>REPLACE(A33,5,2,J33)</f>
        <v/>
      </c>
    </row>
    <row r="52" spans="2:2" x14ac:dyDescent="0.25">
      <c r="B52" s="9"/>
    </row>
    <row r="56" spans="2:2" x14ac:dyDescent="0.25">
      <c r="B56" s="11"/>
    </row>
    <row r="82" spans="1:1" x14ac:dyDescent="0.25">
      <c r="A82" s="11"/>
    </row>
  </sheetData>
  <conditionalFormatting sqref="A3:I23">
    <cfRule type="expression" dxfId="19" priority="25">
      <formula>$I3="Grå"</formula>
    </cfRule>
    <cfRule type="expression" dxfId="18" priority="26">
      <formula>$I3="Svart"</formula>
    </cfRule>
  </conditionalFormatting>
  <pageMargins left="0.7" right="0.7" top="0.75" bottom="0.75" header="0.3" footer="0.3"/>
  <pageSetup paperSize="9" orientation="portrait" horizontalDpi="30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80B9-95C5-4122-B925-63D35B36173A}">
  <sheetPr>
    <tabColor rgb="FF6D9CFB"/>
  </sheetPr>
  <dimension ref="A1:J80"/>
  <sheetViews>
    <sheetView zoomScaleNormal="100" workbookViewId="0">
      <selection activeCell="A3" sqref="A3:B33"/>
    </sheetView>
  </sheetViews>
  <sheetFormatPr defaultColWidth="9.140625" defaultRowHeight="15" x14ac:dyDescent="0.25"/>
  <cols>
    <col min="1" max="1" width="57.85546875" customWidth="1"/>
    <col min="2" max="2" width="17.5703125" customWidth="1"/>
    <col min="3" max="3" width="11.28515625" customWidth="1"/>
    <col min="4" max="4" width="14.28515625" bestFit="1" customWidth="1"/>
    <col min="5" max="5" width="19.42578125" bestFit="1" customWidth="1"/>
    <col min="6" max="6" width="14" bestFit="1" customWidth="1"/>
    <col min="7" max="7" width="21.140625" bestFit="1" customWidth="1"/>
    <col min="8" max="8" width="48.42578125" customWidth="1"/>
    <col min="9" max="9" width="16.7109375" customWidth="1"/>
    <col min="10" max="10" width="24.7109375" bestFit="1" customWidth="1"/>
  </cols>
  <sheetData>
    <row r="1" spans="1:9" ht="21" x14ac:dyDescent="0.35">
      <c r="A1" s="2" t="s">
        <v>59</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754</v>
      </c>
      <c r="B3" s="20" t="s">
        <v>136</v>
      </c>
      <c r="C3" s="20" t="s">
        <v>265</v>
      </c>
      <c r="D3" s="20" t="s">
        <v>755</v>
      </c>
      <c r="H3" s="20" t="s">
        <v>756</v>
      </c>
      <c r="I3" s="20" t="s">
        <v>140</v>
      </c>
    </row>
    <row r="4" spans="1:9" s="20" customFormat="1" x14ac:dyDescent="0.25">
      <c r="A4" s="20" t="s">
        <v>757</v>
      </c>
      <c r="B4" s="20" t="s">
        <v>136</v>
      </c>
      <c r="C4" s="20" t="s">
        <v>265</v>
      </c>
      <c r="D4" s="20" t="s">
        <v>758</v>
      </c>
      <c r="H4" s="20" t="s">
        <v>759</v>
      </c>
      <c r="I4" s="20" t="s">
        <v>140</v>
      </c>
    </row>
    <row r="5" spans="1:9" s="20" customFormat="1" x14ac:dyDescent="0.25">
      <c r="A5" s="20" t="s">
        <v>760</v>
      </c>
      <c r="B5" s="20" t="s">
        <v>136</v>
      </c>
      <c r="C5" s="20" t="s">
        <v>265</v>
      </c>
      <c r="D5" s="20" t="s">
        <v>761</v>
      </c>
      <c r="E5" s="20" t="s">
        <v>762</v>
      </c>
      <c r="H5" s="20" t="s">
        <v>763</v>
      </c>
      <c r="I5" s="20" t="s">
        <v>140</v>
      </c>
    </row>
    <row r="6" spans="1:9" s="20" customFormat="1" x14ac:dyDescent="0.25"/>
    <row r="7" spans="1:9" s="20" customFormat="1" x14ac:dyDescent="0.25">
      <c r="A7" s="20" t="s">
        <v>764</v>
      </c>
      <c r="B7" s="20" t="s">
        <v>136</v>
      </c>
      <c r="C7" s="20" t="s">
        <v>265</v>
      </c>
      <c r="D7" s="20" t="s">
        <v>765</v>
      </c>
      <c r="H7" s="20" t="s">
        <v>766</v>
      </c>
      <c r="I7" s="20" t="s">
        <v>140</v>
      </c>
    </row>
    <row r="8" spans="1:9" s="20" customFormat="1" x14ac:dyDescent="0.25">
      <c r="A8" s="20" t="s">
        <v>767</v>
      </c>
      <c r="B8" s="20" t="s">
        <v>136</v>
      </c>
      <c r="C8" s="20" t="s">
        <v>265</v>
      </c>
      <c r="D8" s="20" t="s">
        <v>768</v>
      </c>
      <c r="H8" s="20" t="s">
        <v>769</v>
      </c>
      <c r="I8" s="20" t="s">
        <v>140</v>
      </c>
    </row>
    <row r="9" spans="1:9" s="20" customFormat="1" x14ac:dyDescent="0.25">
      <c r="A9" s="20" t="s">
        <v>770</v>
      </c>
      <c r="B9" s="20" t="s">
        <v>331</v>
      </c>
      <c r="C9" s="20" t="s">
        <v>265</v>
      </c>
      <c r="D9" s="20">
        <v>0.2</v>
      </c>
      <c r="H9" s="20" t="s">
        <v>771</v>
      </c>
      <c r="I9" s="20" t="s">
        <v>140</v>
      </c>
    </row>
    <row r="10" spans="1:9" s="20" customFormat="1" x14ac:dyDescent="0.25">
      <c r="A10" s="20" t="s">
        <v>772</v>
      </c>
      <c r="B10" s="20" t="s">
        <v>331</v>
      </c>
      <c r="C10" s="20" t="s">
        <v>265</v>
      </c>
      <c r="D10" s="20">
        <v>-0.7</v>
      </c>
      <c r="H10" s="20" t="s">
        <v>773</v>
      </c>
      <c r="I10" s="20" t="s">
        <v>140</v>
      </c>
    </row>
    <row r="11" spans="1:9" s="20" customFormat="1" x14ac:dyDescent="0.25">
      <c r="A11" s="20" t="s">
        <v>774</v>
      </c>
      <c r="B11" s="20" t="s">
        <v>136</v>
      </c>
      <c r="C11" s="20" t="s">
        <v>265</v>
      </c>
      <c r="D11" s="20" t="s">
        <v>775</v>
      </c>
      <c r="H11" s="20" t="s">
        <v>776</v>
      </c>
      <c r="I11" s="20" t="s">
        <v>140</v>
      </c>
    </row>
    <row r="12" spans="1:9" s="20" customFormat="1" x14ac:dyDescent="0.25"/>
    <row r="13" spans="1:9" s="20" customFormat="1" x14ac:dyDescent="0.25">
      <c r="A13" s="20" t="s">
        <v>777</v>
      </c>
      <c r="B13" s="20" t="s">
        <v>331</v>
      </c>
      <c r="C13" s="20" t="s">
        <v>265</v>
      </c>
      <c r="D13" s="20">
        <v>6568</v>
      </c>
      <c r="H13" s="20" t="s">
        <v>778</v>
      </c>
      <c r="I13" s="20" t="s">
        <v>140</v>
      </c>
    </row>
    <row r="14" spans="1:9" s="20" customFormat="1" x14ac:dyDescent="0.25">
      <c r="A14" s="20" t="s">
        <v>779</v>
      </c>
      <c r="B14" s="20" t="s">
        <v>331</v>
      </c>
      <c r="C14" s="20" t="s">
        <v>265</v>
      </c>
      <c r="D14" s="20">
        <v>1115</v>
      </c>
      <c r="H14" s="20" t="s">
        <v>780</v>
      </c>
      <c r="I14" s="20" t="s">
        <v>140</v>
      </c>
    </row>
    <row r="15" spans="1:9" s="20" customFormat="1" x14ac:dyDescent="0.25">
      <c r="A15" s="20" t="s">
        <v>781</v>
      </c>
      <c r="B15" s="20" t="s">
        <v>331</v>
      </c>
      <c r="C15" s="20" t="s">
        <v>265</v>
      </c>
      <c r="D15" s="20">
        <v>2174</v>
      </c>
      <c r="H15" s="20" t="s">
        <v>782</v>
      </c>
      <c r="I15" s="20" t="s">
        <v>140</v>
      </c>
    </row>
    <row r="16" spans="1:9" s="20" customFormat="1" x14ac:dyDescent="0.25">
      <c r="A16" s="20" t="s">
        <v>783</v>
      </c>
      <c r="B16" s="20" t="s">
        <v>331</v>
      </c>
      <c r="C16" s="20" t="s">
        <v>265</v>
      </c>
      <c r="D16" s="20">
        <v>900</v>
      </c>
      <c r="H16" s="20" t="s">
        <v>784</v>
      </c>
      <c r="I16" s="20" t="s">
        <v>140</v>
      </c>
    </row>
    <row r="17" spans="1:9" s="20" customFormat="1" x14ac:dyDescent="0.25">
      <c r="A17" s="20" t="s">
        <v>785</v>
      </c>
      <c r="B17" s="20" t="s">
        <v>331</v>
      </c>
      <c r="C17" s="20" t="s">
        <v>265</v>
      </c>
      <c r="D17" s="20">
        <v>840</v>
      </c>
      <c r="H17" s="20" t="s">
        <v>786</v>
      </c>
      <c r="I17" s="20" t="s">
        <v>140</v>
      </c>
    </row>
    <row r="18" spans="1:9" s="20" customFormat="1" x14ac:dyDescent="0.25"/>
    <row r="19" spans="1:9" s="20" customFormat="1" x14ac:dyDescent="0.25">
      <c r="A19" s="20" t="s">
        <v>787</v>
      </c>
      <c r="B19" s="20" t="s">
        <v>331</v>
      </c>
      <c r="C19" s="20" t="s">
        <v>265</v>
      </c>
      <c r="D19" s="20">
        <v>4800</v>
      </c>
      <c r="H19" s="20" t="s">
        <v>788</v>
      </c>
      <c r="I19" s="20" t="s">
        <v>149</v>
      </c>
    </row>
    <row r="20" spans="1:9" s="20" customFormat="1" x14ac:dyDescent="0.25">
      <c r="A20" s="20" t="s">
        <v>789</v>
      </c>
      <c r="B20" s="20" t="s">
        <v>331</v>
      </c>
      <c r="C20" s="20" t="s">
        <v>265</v>
      </c>
      <c r="D20" s="20">
        <v>1135</v>
      </c>
      <c r="H20" s="20" t="s">
        <v>790</v>
      </c>
      <c r="I20" s="20" t="s">
        <v>149</v>
      </c>
    </row>
    <row r="21" spans="1:9" s="20" customFormat="1" x14ac:dyDescent="0.25">
      <c r="A21" s="20" t="s">
        <v>791</v>
      </c>
      <c r="B21" s="20" t="s">
        <v>331</v>
      </c>
      <c r="C21" s="20" t="s">
        <v>265</v>
      </c>
      <c r="D21" s="20">
        <v>4790</v>
      </c>
      <c r="H21" s="20" t="s">
        <v>792</v>
      </c>
      <c r="I21" s="20" t="s">
        <v>149</v>
      </c>
    </row>
    <row r="22" spans="1:9" s="20" customFormat="1" x14ac:dyDescent="0.25">
      <c r="A22" s="20" t="s">
        <v>793</v>
      </c>
      <c r="B22" s="20" t="s">
        <v>331</v>
      </c>
      <c r="C22" s="20" t="s">
        <v>265</v>
      </c>
      <c r="D22" s="20">
        <v>905</v>
      </c>
      <c r="H22" s="20" t="s">
        <v>794</v>
      </c>
      <c r="I22" s="20" t="s">
        <v>149</v>
      </c>
    </row>
    <row r="23" spans="1:9" s="20" customFormat="1" x14ac:dyDescent="0.25">
      <c r="A23" s="20" t="s">
        <v>795</v>
      </c>
      <c r="B23" s="20" t="s">
        <v>331</v>
      </c>
      <c r="C23" s="20" t="s">
        <v>265</v>
      </c>
      <c r="D23" s="20">
        <v>1500</v>
      </c>
      <c r="H23" s="20" t="s">
        <v>796</v>
      </c>
      <c r="I23" s="20" t="s">
        <v>149</v>
      </c>
    </row>
    <row r="24" spans="1:9" s="20" customFormat="1" x14ac:dyDescent="0.25"/>
    <row r="25" spans="1:9" s="20" customFormat="1" x14ac:dyDescent="0.25">
      <c r="A25" s="20" t="s">
        <v>797</v>
      </c>
      <c r="B25" s="20" t="s">
        <v>331</v>
      </c>
      <c r="C25" s="20" t="s">
        <v>265</v>
      </c>
      <c r="D25" s="20">
        <v>1100</v>
      </c>
      <c r="H25" s="20" t="s">
        <v>798</v>
      </c>
      <c r="I25" s="20" t="s">
        <v>149</v>
      </c>
    </row>
    <row r="26" spans="1:9" s="20" customFormat="1" x14ac:dyDescent="0.25">
      <c r="A26" s="20" t="s">
        <v>799</v>
      </c>
      <c r="B26" s="20" t="s">
        <v>331</v>
      </c>
      <c r="C26" s="20" t="s">
        <v>265</v>
      </c>
      <c r="D26" s="20">
        <v>3750</v>
      </c>
      <c r="H26" s="20" t="s">
        <v>800</v>
      </c>
      <c r="I26" s="20" t="s">
        <v>149</v>
      </c>
    </row>
    <row r="27" spans="1:9" s="20" customFormat="1" x14ac:dyDescent="0.25"/>
    <row r="28" spans="1:9" s="20" customFormat="1" x14ac:dyDescent="0.25">
      <c r="A28" s="20" t="s">
        <v>801</v>
      </c>
      <c r="B28" s="20" t="s">
        <v>331</v>
      </c>
      <c r="C28" s="20" t="s">
        <v>265</v>
      </c>
      <c r="D28" s="20">
        <v>2700</v>
      </c>
      <c r="H28" s="20" t="s">
        <v>802</v>
      </c>
      <c r="I28" s="20" t="s">
        <v>140</v>
      </c>
    </row>
    <row r="29" spans="1:9" s="20" customFormat="1" x14ac:dyDescent="0.25">
      <c r="A29" s="20" t="s">
        <v>803</v>
      </c>
      <c r="B29" s="20" t="s">
        <v>331</v>
      </c>
      <c r="C29" s="20" t="s">
        <v>265</v>
      </c>
      <c r="D29" s="20">
        <v>4600</v>
      </c>
      <c r="H29" s="20" t="s">
        <v>804</v>
      </c>
      <c r="I29" s="20" t="s">
        <v>140</v>
      </c>
    </row>
    <row r="30" spans="1:9" s="20" customFormat="1" x14ac:dyDescent="0.25">
      <c r="A30" s="20" t="s">
        <v>805</v>
      </c>
      <c r="B30" s="20" t="s">
        <v>806</v>
      </c>
      <c r="C30" s="20" t="s">
        <v>265</v>
      </c>
      <c r="D30" s="20" t="s">
        <v>807</v>
      </c>
      <c r="H30" s="20" t="s">
        <v>808</v>
      </c>
      <c r="I30" s="20" t="s">
        <v>140</v>
      </c>
    </row>
    <row r="31" spans="1:9" s="20" customFormat="1" x14ac:dyDescent="0.25"/>
    <row r="32" spans="1:9" s="20" customFormat="1" x14ac:dyDescent="0.25">
      <c r="A32" s="20" t="s">
        <v>809</v>
      </c>
      <c r="B32" s="20" t="s">
        <v>136</v>
      </c>
      <c r="C32" s="20" t="s">
        <v>265</v>
      </c>
      <c r="D32" s="20" t="s">
        <v>810</v>
      </c>
      <c r="H32" s="20" t="s">
        <v>811</v>
      </c>
      <c r="I32" s="20" t="s">
        <v>149</v>
      </c>
    </row>
    <row r="33" spans="1:10" s="20" customFormat="1" x14ac:dyDescent="0.25">
      <c r="A33" s="20" t="s">
        <v>812</v>
      </c>
      <c r="B33" s="20" t="s">
        <v>136</v>
      </c>
      <c r="C33" s="20" t="s">
        <v>265</v>
      </c>
      <c r="D33" s="20" t="s">
        <v>813</v>
      </c>
      <c r="H33" s="20" t="s">
        <v>811</v>
      </c>
      <c r="I33" s="20" t="s">
        <v>149</v>
      </c>
    </row>
    <row r="35" spans="1:10" x14ac:dyDescent="0.25">
      <c r="A35" s="5"/>
    </row>
    <row r="36" spans="1:10" x14ac:dyDescent="0.25">
      <c r="A36" s="5"/>
      <c r="B36" s="5"/>
      <c r="E36" s="5"/>
    </row>
    <row r="37" spans="1:10" x14ac:dyDescent="0.25">
      <c r="A37" s="5"/>
      <c r="B37" s="5"/>
      <c r="E37" s="5"/>
    </row>
    <row r="38" spans="1:10" x14ac:dyDescent="0.25">
      <c r="J38" s="17"/>
    </row>
    <row r="39" spans="1:10" x14ac:dyDescent="0.25">
      <c r="J39" s="17"/>
    </row>
    <row r="40" spans="1:10" x14ac:dyDescent="0.25">
      <c r="J40" s="17"/>
    </row>
    <row r="41" spans="1:10" x14ac:dyDescent="0.25">
      <c r="J41" s="17"/>
    </row>
    <row r="42" spans="1:10" x14ac:dyDescent="0.25">
      <c r="J42" s="17"/>
    </row>
    <row r="43" spans="1:10" x14ac:dyDescent="0.25">
      <c r="J43" s="17"/>
    </row>
    <row r="44" spans="1:10" x14ac:dyDescent="0.25">
      <c r="J44" s="17"/>
    </row>
    <row r="45" spans="1:10" x14ac:dyDescent="0.25">
      <c r="J45" s="17"/>
    </row>
    <row r="46" spans="1:10" x14ac:dyDescent="0.25">
      <c r="J46" s="17"/>
    </row>
    <row r="47" spans="1:10" x14ac:dyDescent="0.25">
      <c r="J47" s="17"/>
    </row>
    <row r="48" spans="1:10" x14ac:dyDescent="0.25">
      <c r="J48" s="17"/>
    </row>
    <row r="49" spans="1:10" x14ac:dyDescent="0.25">
      <c r="J49" s="17"/>
    </row>
    <row r="50" spans="1:10" x14ac:dyDescent="0.25">
      <c r="J50" s="17"/>
    </row>
    <row r="51" spans="1:10" x14ac:dyDescent="0.25">
      <c r="J51" s="17"/>
    </row>
    <row r="52" spans="1:10" x14ac:dyDescent="0.25">
      <c r="J52" s="17"/>
    </row>
    <row r="53" spans="1:10" x14ac:dyDescent="0.25">
      <c r="A53" s="4"/>
      <c r="J53" s="17"/>
    </row>
    <row r="54" spans="1:10" x14ac:dyDescent="0.25">
      <c r="A54" s="4"/>
      <c r="J54" s="17"/>
    </row>
    <row r="55" spans="1:10" x14ac:dyDescent="0.25">
      <c r="A55" s="4"/>
      <c r="J55" s="17"/>
    </row>
    <row r="56" spans="1:10" x14ac:dyDescent="0.25">
      <c r="J56" s="17"/>
    </row>
    <row r="57" spans="1:10" x14ac:dyDescent="0.25">
      <c r="J57" s="17"/>
    </row>
    <row r="58" spans="1:10" x14ac:dyDescent="0.25">
      <c r="J58" s="17"/>
    </row>
    <row r="64" spans="1:10" x14ac:dyDescent="0.25">
      <c r="A64" s="15"/>
    </row>
    <row r="65" spans="1:1" x14ac:dyDescent="0.25">
      <c r="A65" s="15"/>
    </row>
    <row r="66" spans="1:1" x14ac:dyDescent="0.25">
      <c r="A66" s="15"/>
    </row>
    <row r="67" spans="1:1" x14ac:dyDescent="0.25">
      <c r="A67" s="15"/>
    </row>
    <row r="68" spans="1:1" x14ac:dyDescent="0.25">
      <c r="A68" s="15"/>
    </row>
    <row r="73" spans="1:1" x14ac:dyDescent="0.25">
      <c r="A73" s="12"/>
    </row>
    <row r="80" spans="1:1" x14ac:dyDescent="0.25">
      <c r="A80" s="16"/>
    </row>
  </sheetData>
  <conditionalFormatting sqref="A3:I33">
    <cfRule type="expression" dxfId="17" priority="27">
      <formula>$I3="Grå"</formula>
    </cfRule>
    <cfRule type="expression" dxfId="16" priority="28">
      <formula>$I3="Svart"</formula>
    </cfRule>
  </conditionalFormatting>
  <pageMargins left="0.7" right="0.7" top="0.75" bottom="0.75" header="0.3" footer="0.3"/>
  <pageSetup paperSize="9" orientation="portrait" horizontalDpi="30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4153-C6BA-4ADD-AE8F-A121D3F796DB}">
  <sheetPr>
    <tabColor rgb="FF6D9CFB"/>
  </sheetPr>
  <dimension ref="A1:I31"/>
  <sheetViews>
    <sheetView zoomScaleNormal="100" workbookViewId="0">
      <selection activeCell="A3" sqref="A3:B31"/>
    </sheetView>
  </sheetViews>
  <sheetFormatPr defaultColWidth="9.140625" defaultRowHeight="15" x14ac:dyDescent="0.25"/>
  <cols>
    <col min="1" max="1" width="65.140625" bestFit="1" customWidth="1"/>
    <col min="2" max="3" width="16.85546875" customWidth="1"/>
    <col min="4" max="4" width="18.7109375" style="7" bestFit="1" customWidth="1"/>
    <col min="5" max="5" width="16.42578125" style="7" customWidth="1"/>
    <col min="6" max="6" width="18.7109375" style="7" customWidth="1"/>
    <col min="7" max="7" width="9" bestFit="1" customWidth="1"/>
    <col min="8" max="8" width="119.28515625" bestFit="1" customWidth="1"/>
    <col min="9" max="9" width="39.42578125" bestFit="1" customWidth="1"/>
    <col min="10" max="10" width="44.85546875" bestFit="1" customWidth="1"/>
    <col min="11" max="11" width="11.140625" bestFit="1" customWidth="1"/>
    <col min="12" max="13" width="30.85546875" customWidth="1"/>
    <col min="14" max="14" width="123.140625" bestFit="1" customWidth="1"/>
  </cols>
  <sheetData>
    <row r="1" spans="1:9" ht="21" x14ac:dyDescent="0.35">
      <c r="A1" s="2" t="s">
        <v>69</v>
      </c>
    </row>
    <row r="2" spans="1:9" ht="15" customHeight="1" x14ac:dyDescent="0.25">
      <c r="A2" s="3" t="s">
        <v>32</v>
      </c>
      <c r="B2" s="3" t="s">
        <v>36</v>
      </c>
      <c r="C2" s="3" t="s">
        <v>40</v>
      </c>
      <c r="D2" s="13" t="s">
        <v>44</v>
      </c>
      <c r="E2" s="13" t="s">
        <v>49</v>
      </c>
      <c r="F2" s="13" t="s">
        <v>53</v>
      </c>
      <c r="G2" s="3" t="s">
        <v>57</v>
      </c>
      <c r="H2" s="3" t="s">
        <v>61</v>
      </c>
      <c r="I2" s="3" t="s">
        <v>65</v>
      </c>
    </row>
    <row r="3" spans="1:9" s="20" customFormat="1" x14ac:dyDescent="0.25">
      <c r="A3" s="20" t="s">
        <v>814</v>
      </c>
      <c r="B3" s="20" t="s">
        <v>136</v>
      </c>
      <c r="C3" s="20" t="s">
        <v>265</v>
      </c>
      <c r="D3" s="20" t="s">
        <v>815</v>
      </c>
      <c r="H3" s="20" t="s">
        <v>816</v>
      </c>
      <c r="I3" s="20" t="s">
        <v>140</v>
      </c>
    </row>
    <row r="4" spans="1:9" s="20" customFormat="1" x14ac:dyDescent="0.25">
      <c r="A4" s="20" t="s">
        <v>817</v>
      </c>
      <c r="B4" s="20" t="s">
        <v>136</v>
      </c>
      <c r="C4" s="20" t="s">
        <v>265</v>
      </c>
      <c r="D4" s="20" t="s">
        <v>818</v>
      </c>
      <c r="H4" s="20" t="s">
        <v>819</v>
      </c>
      <c r="I4" s="20" t="s">
        <v>140</v>
      </c>
    </row>
    <row r="5" spans="1:9" s="20" customFormat="1" x14ac:dyDescent="0.25">
      <c r="A5" s="20" t="s">
        <v>820</v>
      </c>
      <c r="B5" s="20" t="s">
        <v>331</v>
      </c>
      <c r="C5" s="20" t="s">
        <v>265</v>
      </c>
      <c r="D5" s="20">
        <v>5000</v>
      </c>
      <c r="H5" s="20" t="s">
        <v>821</v>
      </c>
      <c r="I5" s="20" t="s">
        <v>140</v>
      </c>
    </row>
    <row r="6" spans="1:9" s="20" customFormat="1" x14ac:dyDescent="0.25">
      <c r="A6" s="20" t="s">
        <v>822</v>
      </c>
      <c r="B6" s="20" t="s">
        <v>136</v>
      </c>
      <c r="C6" s="20" t="s">
        <v>265</v>
      </c>
      <c r="D6" s="20" t="s">
        <v>823</v>
      </c>
      <c r="H6" s="20" t="s">
        <v>824</v>
      </c>
      <c r="I6" s="20" t="s">
        <v>149</v>
      </c>
    </row>
    <row r="7" spans="1:9" s="20" customFormat="1" x14ac:dyDescent="0.25">
      <c r="A7" s="20" t="s">
        <v>825</v>
      </c>
      <c r="B7" s="20" t="s">
        <v>331</v>
      </c>
      <c r="C7" s="20" t="s">
        <v>265</v>
      </c>
      <c r="D7" s="20">
        <v>5</v>
      </c>
      <c r="H7" s="20" t="s">
        <v>826</v>
      </c>
      <c r="I7" s="20" t="s">
        <v>140</v>
      </c>
    </row>
    <row r="8" spans="1:9" s="20" customFormat="1" x14ac:dyDescent="0.25">
      <c r="A8" s="20" t="s">
        <v>827</v>
      </c>
      <c r="B8" s="20" t="s">
        <v>553</v>
      </c>
      <c r="C8" s="20" t="s">
        <v>265</v>
      </c>
      <c r="D8" s="20">
        <v>38680</v>
      </c>
      <c r="H8" s="20" t="s">
        <v>828</v>
      </c>
      <c r="I8" s="20" t="s">
        <v>140</v>
      </c>
    </row>
    <row r="9" spans="1:9" s="20" customFormat="1" x14ac:dyDescent="0.25">
      <c r="A9" s="20" t="s">
        <v>829</v>
      </c>
      <c r="B9" s="20" t="s">
        <v>553</v>
      </c>
      <c r="C9" s="20" t="s">
        <v>265</v>
      </c>
      <c r="D9" s="20">
        <v>300</v>
      </c>
      <c r="H9" s="20" t="s">
        <v>830</v>
      </c>
      <c r="I9" s="20" t="s">
        <v>149</v>
      </c>
    </row>
    <row r="10" spans="1:9" s="20" customFormat="1" x14ac:dyDescent="0.25">
      <c r="A10" s="20" t="s">
        <v>831</v>
      </c>
      <c r="B10" s="20" t="s">
        <v>553</v>
      </c>
      <c r="C10" s="20" t="s">
        <v>265</v>
      </c>
      <c r="D10" s="20">
        <v>2000</v>
      </c>
      <c r="H10" s="20" t="s">
        <v>832</v>
      </c>
      <c r="I10" s="20" t="s">
        <v>140</v>
      </c>
    </row>
    <row r="11" spans="1:9" s="20" customFormat="1" x14ac:dyDescent="0.25"/>
    <row r="12" spans="1:9" s="20" customFormat="1" x14ac:dyDescent="0.25">
      <c r="A12" s="20" t="s">
        <v>833</v>
      </c>
      <c r="B12" s="20" t="s">
        <v>553</v>
      </c>
      <c r="C12" s="20" t="s">
        <v>265</v>
      </c>
      <c r="D12" s="20" t="s">
        <v>834</v>
      </c>
      <c r="H12" s="20" t="s">
        <v>835</v>
      </c>
      <c r="I12" s="20" t="s">
        <v>140</v>
      </c>
    </row>
    <row r="13" spans="1:9" s="20" customFormat="1" x14ac:dyDescent="0.25">
      <c r="A13" s="20" t="s">
        <v>836</v>
      </c>
      <c r="B13" s="20" t="s">
        <v>331</v>
      </c>
      <c r="C13" s="20" t="s">
        <v>265</v>
      </c>
      <c r="D13" s="20">
        <v>4</v>
      </c>
      <c r="H13" s="20" t="s">
        <v>837</v>
      </c>
      <c r="I13" s="20" t="s">
        <v>140</v>
      </c>
    </row>
    <row r="14" spans="1:9" s="20" customFormat="1" x14ac:dyDescent="0.25">
      <c r="A14" s="20" t="s">
        <v>838</v>
      </c>
      <c r="B14" s="20" t="s">
        <v>331</v>
      </c>
      <c r="C14" s="20" t="s">
        <v>265</v>
      </c>
      <c r="D14" s="20">
        <v>4</v>
      </c>
      <c r="H14" s="20" t="s">
        <v>839</v>
      </c>
      <c r="I14" s="20" t="s">
        <v>140</v>
      </c>
    </row>
    <row r="15" spans="1:9" s="20" customFormat="1" x14ac:dyDescent="0.25"/>
    <row r="16" spans="1:9" s="20" customFormat="1" x14ac:dyDescent="0.25">
      <c r="A16" s="20" t="s">
        <v>840</v>
      </c>
      <c r="B16" s="20" t="s">
        <v>331</v>
      </c>
      <c r="C16" s="20" t="s">
        <v>265</v>
      </c>
      <c r="D16" s="20">
        <v>87</v>
      </c>
      <c r="H16" s="20" t="s">
        <v>841</v>
      </c>
      <c r="I16" s="20" t="s">
        <v>149</v>
      </c>
    </row>
    <row r="17" spans="1:9" s="20" customFormat="1" x14ac:dyDescent="0.25">
      <c r="A17" s="20" t="s">
        <v>842</v>
      </c>
      <c r="B17" s="20" t="s">
        <v>553</v>
      </c>
      <c r="C17" s="20" t="s">
        <v>265</v>
      </c>
      <c r="D17" s="20">
        <v>2000</v>
      </c>
      <c r="H17" s="20" t="s">
        <v>843</v>
      </c>
      <c r="I17" s="20" t="s">
        <v>149</v>
      </c>
    </row>
    <row r="18" spans="1:9" s="20" customFormat="1" x14ac:dyDescent="0.25">
      <c r="A18" s="20" t="s">
        <v>844</v>
      </c>
      <c r="B18" s="20" t="s">
        <v>553</v>
      </c>
      <c r="C18" s="20" t="s">
        <v>265</v>
      </c>
      <c r="D18" s="20" t="s">
        <v>845</v>
      </c>
      <c r="H18" s="20" t="s">
        <v>846</v>
      </c>
      <c r="I18" s="20" t="s">
        <v>149</v>
      </c>
    </row>
    <row r="19" spans="1:9" s="20" customFormat="1" x14ac:dyDescent="0.25">
      <c r="A19" s="20" t="s">
        <v>847</v>
      </c>
      <c r="B19" s="20" t="s">
        <v>553</v>
      </c>
      <c r="C19" s="20" t="s">
        <v>265</v>
      </c>
      <c r="D19" s="20" t="s">
        <v>848</v>
      </c>
      <c r="H19" s="20" t="s">
        <v>849</v>
      </c>
      <c r="I19" s="20" t="s">
        <v>149</v>
      </c>
    </row>
    <row r="20" spans="1:9" s="20" customFormat="1" x14ac:dyDescent="0.25">
      <c r="A20" s="20" t="s">
        <v>850</v>
      </c>
      <c r="B20" s="20" t="s">
        <v>553</v>
      </c>
      <c r="C20" s="20" t="s">
        <v>265</v>
      </c>
      <c r="D20" s="20" t="s">
        <v>851</v>
      </c>
      <c r="H20" s="20" t="s">
        <v>852</v>
      </c>
      <c r="I20" s="20" t="s">
        <v>149</v>
      </c>
    </row>
    <row r="21" spans="1:9" s="20" customFormat="1" x14ac:dyDescent="0.25"/>
    <row r="22" spans="1:9" s="20" customFormat="1" x14ac:dyDescent="0.25">
      <c r="A22" s="20" t="s">
        <v>853</v>
      </c>
      <c r="B22" s="20" t="s">
        <v>136</v>
      </c>
      <c r="C22" s="20" t="s">
        <v>265</v>
      </c>
      <c r="H22" s="20" t="s">
        <v>854</v>
      </c>
      <c r="I22" s="20" t="s">
        <v>149</v>
      </c>
    </row>
    <row r="23" spans="1:9" s="20" customFormat="1" x14ac:dyDescent="0.25">
      <c r="A23" s="20" t="s">
        <v>855</v>
      </c>
      <c r="B23" s="20" t="s">
        <v>136</v>
      </c>
      <c r="C23" s="20" t="s">
        <v>265</v>
      </c>
      <c r="H23" s="20" t="s">
        <v>854</v>
      </c>
      <c r="I23" s="20" t="s">
        <v>149</v>
      </c>
    </row>
    <row r="24" spans="1:9" s="20" customFormat="1" x14ac:dyDescent="0.25">
      <c r="A24" s="20" t="s">
        <v>856</v>
      </c>
      <c r="B24" s="20" t="s">
        <v>136</v>
      </c>
      <c r="C24" s="20" t="s">
        <v>265</v>
      </c>
      <c r="H24" s="20" t="s">
        <v>854</v>
      </c>
      <c r="I24" s="20" t="s">
        <v>149</v>
      </c>
    </row>
    <row r="25" spans="1:9" s="20" customFormat="1" x14ac:dyDescent="0.25">
      <c r="A25" s="20" t="s">
        <v>857</v>
      </c>
      <c r="B25" s="20" t="s">
        <v>136</v>
      </c>
      <c r="C25" s="20" t="s">
        <v>265</v>
      </c>
      <c r="H25" s="20" t="s">
        <v>858</v>
      </c>
      <c r="I25" s="20" t="s">
        <v>149</v>
      </c>
    </row>
    <row r="26" spans="1:9" s="20" customFormat="1" x14ac:dyDescent="0.25">
      <c r="A26" s="20" t="s">
        <v>859</v>
      </c>
      <c r="B26" s="20" t="s">
        <v>136</v>
      </c>
      <c r="C26" s="20" t="s">
        <v>265</v>
      </c>
      <c r="H26" s="20" t="s">
        <v>860</v>
      </c>
      <c r="I26" s="20" t="s">
        <v>149</v>
      </c>
    </row>
    <row r="27" spans="1:9" s="20" customFormat="1" x14ac:dyDescent="0.25">
      <c r="A27" s="20" t="s">
        <v>861</v>
      </c>
      <c r="B27" s="20" t="s">
        <v>136</v>
      </c>
      <c r="C27" s="20" t="s">
        <v>265</v>
      </c>
      <c r="H27" s="20" t="s">
        <v>860</v>
      </c>
      <c r="I27" s="20" t="s">
        <v>149</v>
      </c>
    </row>
    <row r="28" spans="1:9" s="20" customFormat="1" x14ac:dyDescent="0.25">
      <c r="A28" s="20" t="s">
        <v>862</v>
      </c>
      <c r="B28" s="20" t="s">
        <v>136</v>
      </c>
      <c r="C28" s="20" t="s">
        <v>265</v>
      </c>
      <c r="H28" s="20" t="s">
        <v>860</v>
      </c>
      <c r="I28" s="20" t="s">
        <v>149</v>
      </c>
    </row>
    <row r="29" spans="1:9" s="20" customFormat="1" x14ac:dyDescent="0.25">
      <c r="A29" s="20" t="s">
        <v>863</v>
      </c>
      <c r="B29" s="20" t="s">
        <v>136</v>
      </c>
      <c r="C29" s="20" t="s">
        <v>265</v>
      </c>
      <c r="H29" s="20" t="s">
        <v>864</v>
      </c>
      <c r="I29" s="20" t="s">
        <v>149</v>
      </c>
    </row>
    <row r="30" spans="1:9" s="20" customFormat="1" x14ac:dyDescent="0.25">
      <c r="A30" s="20" t="s">
        <v>865</v>
      </c>
      <c r="B30" s="20" t="s">
        <v>136</v>
      </c>
      <c r="C30" s="20" t="s">
        <v>265</v>
      </c>
      <c r="H30" s="20" t="s">
        <v>864</v>
      </c>
      <c r="I30" s="20" t="s">
        <v>149</v>
      </c>
    </row>
    <row r="31" spans="1:9" s="20" customFormat="1" x14ac:dyDescent="0.25">
      <c r="A31" s="20" t="s">
        <v>866</v>
      </c>
      <c r="B31" s="20" t="s">
        <v>136</v>
      </c>
      <c r="C31" s="20" t="s">
        <v>265</v>
      </c>
      <c r="H31" s="20" t="s">
        <v>864</v>
      </c>
      <c r="I31" s="20" t="s">
        <v>149</v>
      </c>
    </row>
  </sheetData>
  <conditionalFormatting sqref="A3:I31">
    <cfRule type="expression" dxfId="15" priority="29">
      <formula>$I3="Grå"</formula>
    </cfRule>
    <cfRule type="expression" dxfId="14" priority="30">
      <formula>$I3="Svart"</formula>
    </cfRule>
  </conditionalFormatting>
  <pageMargins left="0.7" right="0.7" top="0.75" bottom="0.75" header="0.3" footer="0.3"/>
  <pageSetup paperSize="9" orientation="portrait" horizontalDpi="30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B7B24-2878-4C28-A0CA-D740DD245458}">
  <sheetPr>
    <tabColor rgb="FF6D9CFB"/>
  </sheetPr>
  <dimension ref="A1:I7"/>
  <sheetViews>
    <sheetView workbookViewId="0">
      <selection activeCell="A3" sqref="A3:B7"/>
    </sheetView>
  </sheetViews>
  <sheetFormatPr defaultColWidth="9.140625" defaultRowHeight="15" x14ac:dyDescent="0.25"/>
  <cols>
    <col min="1" max="1" width="39.7109375" bestFit="1" customWidth="1"/>
    <col min="2" max="2" width="9.140625" customWidth="1"/>
    <col min="3" max="3" width="12.85546875" customWidth="1"/>
    <col min="4" max="4" width="68.7109375" bestFit="1" customWidth="1"/>
    <col min="5" max="5" width="33.42578125" customWidth="1"/>
    <col min="6" max="7" width="19.28515625" customWidth="1"/>
    <col min="8" max="8" width="84.140625" bestFit="1" customWidth="1"/>
  </cols>
  <sheetData>
    <row r="1" spans="1:9" ht="21" x14ac:dyDescent="0.35">
      <c r="A1" s="2" t="s">
        <v>67</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867</v>
      </c>
      <c r="B3" s="20" t="s">
        <v>136</v>
      </c>
      <c r="C3" s="20" t="s">
        <v>265</v>
      </c>
      <c r="D3" s="20" t="s">
        <v>868</v>
      </c>
      <c r="E3" s="20" t="s">
        <v>869</v>
      </c>
      <c r="H3" s="20" t="s">
        <v>870</v>
      </c>
      <c r="I3" s="20" t="s">
        <v>140</v>
      </c>
    </row>
    <row r="4" spans="1:9" s="20" customFormat="1" x14ac:dyDescent="0.25">
      <c r="A4" s="20" t="s">
        <v>871</v>
      </c>
      <c r="B4" s="20" t="s">
        <v>136</v>
      </c>
      <c r="C4" s="20" t="s">
        <v>265</v>
      </c>
      <c r="D4" s="20" t="s">
        <v>872</v>
      </c>
      <c r="H4" s="20" t="s">
        <v>873</v>
      </c>
      <c r="I4" s="20" t="s">
        <v>140</v>
      </c>
    </row>
    <row r="5" spans="1:9" s="20" customFormat="1" x14ac:dyDescent="0.25">
      <c r="A5" s="20" t="s">
        <v>874</v>
      </c>
      <c r="B5" s="20" t="s">
        <v>136</v>
      </c>
      <c r="C5" s="20" t="s">
        <v>265</v>
      </c>
      <c r="D5" s="20" t="s">
        <v>875</v>
      </c>
      <c r="H5" s="20" t="s">
        <v>876</v>
      </c>
      <c r="I5" s="20" t="s">
        <v>149</v>
      </c>
    </row>
    <row r="6" spans="1:9" s="20" customFormat="1" x14ac:dyDescent="0.25">
      <c r="A6" s="20" t="s">
        <v>877</v>
      </c>
      <c r="B6" s="20" t="s">
        <v>136</v>
      </c>
      <c r="C6" s="20" t="s">
        <v>265</v>
      </c>
      <c r="D6" s="20" t="s">
        <v>878</v>
      </c>
      <c r="H6" s="20" t="s">
        <v>879</v>
      </c>
      <c r="I6" s="20" t="s">
        <v>149</v>
      </c>
    </row>
    <row r="7" spans="1:9" s="20" customFormat="1" x14ac:dyDescent="0.25">
      <c r="A7" s="20" t="s">
        <v>880</v>
      </c>
      <c r="B7" s="20" t="s">
        <v>136</v>
      </c>
      <c r="C7" s="20" t="s">
        <v>265</v>
      </c>
      <c r="D7" s="20" t="s">
        <v>881</v>
      </c>
      <c r="H7" s="20" t="s">
        <v>882</v>
      </c>
      <c r="I7" s="20" t="s">
        <v>149</v>
      </c>
    </row>
  </sheetData>
  <conditionalFormatting sqref="A3:I7">
    <cfRule type="expression" dxfId="13" priority="31">
      <formula>$I3="Grå"</formula>
    </cfRule>
    <cfRule type="expression" dxfId="12" priority="32">
      <formula>$I3="Svart"</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01E87-8715-4362-8F90-9D4358381CAE}">
  <sheetPr>
    <tabColor rgb="FF6D9CFB"/>
  </sheetPr>
  <dimension ref="A1:I42"/>
  <sheetViews>
    <sheetView zoomScaleNormal="100" workbookViewId="0">
      <selection activeCell="A19" sqref="A19"/>
    </sheetView>
  </sheetViews>
  <sheetFormatPr defaultColWidth="9.140625" defaultRowHeight="15" x14ac:dyDescent="0.25"/>
  <cols>
    <col min="1" max="1" width="33.42578125" customWidth="1"/>
    <col min="2" max="2" width="9" customWidth="1"/>
    <col min="3" max="3" width="9.7109375" customWidth="1"/>
    <col min="4" max="4" width="45.7109375" bestFit="1" customWidth="1"/>
    <col min="5" max="5" width="45.7109375" customWidth="1"/>
    <col min="6" max="6" width="41.42578125" bestFit="1" customWidth="1"/>
    <col min="7" max="7" width="41.42578125" customWidth="1"/>
    <col min="8" max="8" width="82.42578125" bestFit="1" customWidth="1"/>
  </cols>
  <sheetData>
    <row r="1" spans="1:9" ht="21" x14ac:dyDescent="0.35">
      <c r="A1" s="2" t="s">
        <v>73</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883</v>
      </c>
      <c r="B3" s="20" t="s">
        <v>136</v>
      </c>
      <c r="C3" s="20" t="s">
        <v>265</v>
      </c>
      <c r="D3" s="20" t="s">
        <v>884</v>
      </c>
      <c r="F3" s="20" t="s">
        <v>885</v>
      </c>
      <c r="H3" s="20" t="s">
        <v>886</v>
      </c>
      <c r="I3" s="20" t="s">
        <v>140</v>
      </c>
    </row>
    <row r="4" spans="1:9" s="20" customFormat="1" x14ac:dyDescent="0.25">
      <c r="A4" s="20" t="s">
        <v>887</v>
      </c>
      <c r="B4" s="20" t="s">
        <v>136</v>
      </c>
      <c r="C4" s="20" t="s">
        <v>265</v>
      </c>
      <c r="D4" s="20">
        <v>1</v>
      </c>
      <c r="F4" s="20" t="s">
        <v>888</v>
      </c>
      <c r="H4" s="20" t="s">
        <v>886</v>
      </c>
      <c r="I4" s="20" t="s">
        <v>140</v>
      </c>
    </row>
    <row r="5" spans="1:9" s="20" customFormat="1" x14ac:dyDescent="0.25">
      <c r="A5" s="20" t="s">
        <v>889</v>
      </c>
      <c r="B5" s="20" t="s">
        <v>136</v>
      </c>
      <c r="C5" s="20" t="s">
        <v>265</v>
      </c>
      <c r="D5" s="20">
        <v>1</v>
      </c>
      <c r="F5" s="20" t="s">
        <v>888</v>
      </c>
      <c r="H5" s="20" t="s">
        <v>886</v>
      </c>
      <c r="I5" s="20" t="s">
        <v>140</v>
      </c>
    </row>
    <row r="6" spans="1:9" s="20" customFormat="1" x14ac:dyDescent="0.25"/>
    <row r="7" spans="1:9" s="20" customFormat="1" x14ac:dyDescent="0.25">
      <c r="A7" s="20" t="s">
        <v>890</v>
      </c>
      <c r="B7" s="20" t="s">
        <v>136</v>
      </c>
      <c r="C7" s="20" t="s">
        <v>265</v>
      </c>
      <c r="D7" s="20" t="s">
        <v>891</v>
      </c>
      <c r="H7" s="20" t="s">
        <v>892</v>
      </c>
      <c r="I7" s="20" t="s">
        <v>140</v>
      </c>
    </row>
    <row r="8" spans="1:9" s="20" customFormat="1" x14ac:dyDescent="0.25">
      <c r="A8" s="20" t="s">
        <v>893</v>
      </c>
      <c r="B8" s="20" t="s">
        <v>136</v>
      </c>
      <c r="C8" s="20" t="s">
        <v>265</v>
      </c>
      <c r="D8" s="20" t="s">
        <v>894</v>
      </c>
      <c r="H8" s="20" t="s">
        <v>895</v>
      </c>
      <c r="I8" s="20" t="s">
        <v>149</v>
      </c>
    </row>
    <row r="9" spans="1:9" s="20" customFormat="1" x14ac:dyDescent="0.25"/>
    <row r="10" spans="1:9" s="20" customFormat="1" x14ac:dyDescent="0.25">
      <c r="A10" s="20" t="s">
        <v>896</v>
      </c>
      <c r="B10" s="20" t="s">
        <v>136</v>
      </c>
      <c r="C10" s="20" t="s">
        <v>265</v>
      </c>
      <c r="D10" s="20" t="s">
        <v>897</v>
      </c>
      <c r="H10" s="20" t="s">
        <v>898</v>
      </c>
      <c r="I10" s="20" t="s">
        <v>149</v>
      </c>
    </row>
    <row r="11" spans="1:9" s="20" customFormat="1" x14ac:dyDescent="0.25"/>
    <row r="12" spans="1:9" s="20" customFormat="1" x14ac:dyDescent="0.25">
      <c r="A12" s="20" t="s">
        <v>899</v>
      </c>
      <c r="B12" s="20" t="s">
        <v>136</v>
      </c>
      <c r="C12" s="20" t="s">
        <v>265</v>
      </c>
      <c r="D12" s="20" t="s">
        <v>453</v>
      </c>
      <c r="H12" s="20" t="s">
        <v>900</v>
      </c>
      <c r="I12" s="20" t="s">
        <v>149</v>
      </c>
    </row>
    <row r="13" spans="1:9" s="20" customFormat="1" x14ac:dyDescent="0.25">
      <c r="A13" s="20" t="s">
        <v>901</v>
      </c>
      <c r="B13" s="20" t="s">
        <v>136</v>
      </c>
      <c r="C13" s="20" t="s">
        <v>265</v>
      </c>
      <c r="D13" s="20" t="s">
        <v>902</v>
      </c>
      <c r="H13" s="20" t="s">
        <v>903</v>
      </c>
      <c r="I13" s="20" t="s">
        <v>140</v>
      </c>
    </row>
    <row r="14" spans="1:9" s="20" customFormat="1" x14ac:dyDescent="0.25">
      <c r="A14" s="20" t="s">
        <v>904</v>
      </c>
      <c r="B14" s="20" t="s">
        <v>136</v>
      </c>
      <c r="C14" s="20" t="s">
        <v>265</v>
      </c>
      <c r="D14" s="20" t="s">
        <v>905</v>
      </c>
      <c r="H14" s="20" t="s">
        <v>906</v>
      </c>
      <c r="I14" s="20" t="s">
        <v>140</v>
      </c>
    </row>
    <row r="15" spans="1:9" s="20" customFormat="1" x14ac:dyDescent="0.25">
      <c r="A15" s="20" t="s">
        <v>907</v>
      </c>
      <c r="B15" s="20" t="s">
        <v>136</v>
      </c>
      <c r="C15" s="20" t="s">
        <v>265</v>
      </c>
      <c r="D15" s="20" t="s">
        <v>908</v>
      </c>
      <c r="H15" s="20" t="s">
        <v>909</v>
      </c>
      <c r="I15" s="20" t="s">
        <v>149</v>
      </c>
    </row>
    <row r="16" spans="1:9" s="20" customFormat="1" x14ac:dyDescent="0.25">
      <c r="A16" s="20" t="s">
        <v>910</v>
      </c>
      <c r="B16" s="20" t="s">
        <v>136</v>
      </c>
      <c r="C16" s="20" t="s">
        <v>265</v>
      </c>
      <c r="D16" s="20" t="s">
        <v>911</v>
      </c>
      <c r="H16" s="20" t="s">
        <v>912</v>
      </c>
      <c r="I16" s="20" t="s">
        <v>149</v>
      </c>
    </row>
    <row r="17" spans="1:9" s="20" customFormat="1" x14ac:dyDescent="0.25"/>
    <row r="18" spans="1:9" s="20" customFormat="1" x14ac:dyDescent="0.25">
      <c r="A18" s="20" t="s">
        <v>1110</v>
      </c>
      <c r="B18" s="20" t="s">
        <v>136</v>
      </c>
      <c r="C18" s="20" t="s">
        <v>265</v>
      </c>
      <c r="D18" s="20" t="s">
        <v>913</v>
      </c>
      <c r="F18" s="20" t="s">
        <v>914</v>
      </c>
      <c r="H18" s="20" t="s">
        <v>915</v>
      </c>
      <c r="I18" s="20" t="s">
        <v>140</v>
      </c>
    </row>
    <row r="21" spans="1:9" x14ac:dyDescent="0.25">
      <c r="F21" s="20" t="s">
        <v>914</v>
      </c>
    </row>
    <row r="22" spans="1:9" x14ac:dyDescent="0.25">
      <c r="F22" t="s">
        <v>913</v>
      </c>
    </row>
    <row r="23" spans="1:9" x14ac:dyDescent="0.25">
      <c r="F23" t="s">
        <v>916</v>
      </c>
    </row>
    <row r="24" spans="1:9" x14ac:dyDescent="0.25">
      <c r="F24" t="s">
        <v>917</v>
      </c>
    </row>
    <row r="25" spans="1:9" x14ac:dyDescent="0.25">
      <c r="A25" s="23"/>
      <c r="F25" t="s">
        <v>918</v>
      </c>
    </row>
    <row r="26" spans="1:9" x14ac:dyDescent="0.25">
      <c r="A26" s="23"/>
      <c r="F26" t="s">
        <v>919</v>
      </c>
    </row>
    <row r="27" spans="1:9" x14ac:dyDescent="0.25">
      <c r="F27" t="s">
        <v>920</v>
      </c>
    </row>
    <row r="28" spans="1:9" x14ac:dyDescent="0.25">
      <c r="F28" t="s">
        <v>921</v>
      </c>
    </row>
    <row r="29" spans="1:9" x14ac:dyDescent="0.25">
      <c r="A29" s="14"/>
      <c r="F29" t="s">
        <v>922</v>
      </c>
    </row>
    <row r="30" spans="1:9" x14ac:dyDescent="0.25">
      <c r="F30" t="s">
        <v>923</v>
      </c>
    </row>
    <row r="31" spans="1:9" x14ac:dyDescent="0.25">
      <c r="F31" t="s">
        <v>924</v>
      </c>
    </row>
    <row r="32" spans="1:9" x14ac:dyDescent="0.25">
      <c r="F32" t="s">
        <v>925</v>
      </c>
    </row>
    <row r="33" spans="6:6" x14ac:dyDescent="0.25">
      <c r="F33" t="s">
        <v>926</v>
      </c>
    </row>
    <row r="34" spans="6:6" x14ac:dyDescent="0.25">
      <c r="F34" t="s">
        <v>927</v>
      </c>
    </row>
    <row r="35" spans="6:6" x14ac:dyDescent="0.25">
      <c r="F35" t="s">
        <v>928</v>
      </c>
    </row>
    <row r="36" spans="6:6" x14ac:dyDescent="0.25">
      <c r="F36" t="s">
        <v>929</v>
      </c>
    </row>
    <row r="37" spans="6:6" x14ac:dyDescent="0.25">
      <c r="F37" t="s">
        <v>930</v>
      </c>
    </row>
    <row r="38" spans="6:6" x14ac:dyDescent="0.25">
      <c r="F38" t="s">
        <v>931</v>
      </c>
    </row>
    <row r="39" spans="6:6" x14ac:dyDescent="0.25">
      <c r="F39" t="s">
        <v>932</v>
      </c>
    </row>
    <row r="40" spans="6:6" x14ac:dyDescent="0.25">
      <c r="F40" t="s">
        <v>933</v>
      </c>
    </row>
    <row r="41" spans="6:6" x14ac:dyDescent="0.25">
      <c r="F41" t="s">
        <v>934</v>
      </c>
    </row>
    <row r="42" spans="6:6" x14ac:dyDescent="0.25">
      <c r="F42" t="s">
        <v>935</v>
      </c>
    </row>
  </sheetData>
  <conditionalFormatting sqref="A3:I18">
    <cfRule type="expression" dxfId="11" priority="33">
      <formula>$I3="Grå"</formula>
    </cfRule>
    <cfRule type="expression" dxfId="10" priority="34">
      <formula>$I3="Svart"</formula>
    </cfRule>
  </conditionalFormatting>
  <pageMargins left="0.7" right="0.7" top="0.75" bottom="0.75" header="0.3" footer="0.3"/>
  <pageSetup paperSize="9" orientation="portrait" horizontalDpi="30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FF9D0-369B-4A20-BDF1-BAA63799F323}">
  <sheetPr>
    <tabColor rgb="FF6D9CFB"/>
  </sheetPr>
  <dimension ref="A1:I47"/>
  <sheetViews>
    <sheetView workbookViewId="0">
      <selection activeCell="A3" sqref="A3:B20"/>
    </sheetView>
  </sheetViews>
  <sheetFormatPr defaultColWidth="9.140625" defaultRowHeight="15" x14ac:dyDescent="0.25"/>
  <cols>
    <col min="1" max="1" width="35" customWidth="1"/>
    <col min="2" max="2" width="13.5703125" customWidth="1"/>
    <col min="3" max="3" width="14.28515625" customWidth="1"/>
    <col min="4" max="4" width="34.140625" bestFit="1" customWidth="1"/>
    <col min="5" max="5" width="34.140625" customWidth="1"/>
    <col min="6" max="6" width="34.140625" bestFit="1" customWidth="1"/>
    <col min="7" max="7" width="34.140625" customWidth="1"/>
    <col min="8" max="8" width="47.28515625" bestFit="1" customWidth="1"/>
  </cols>
  <sheetData>
    <row r="1" spans="1:9" ht="21" x14ac:dyDescent="0.35">
      <c r="A1" s="2" t="s">
        <v>71</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936</v>
      </c>
      <c r="B3" s="20" t="s">
        <v>136</v>
      </c>
      <c r="C3" s="20" t="s">
        <v>265</v>
      </c>
      <c r="D3" s="20" t="s">
        <v>937</v>
      </c>
      <c r="F3" s="20" t="s">
        <v>914</v>
      </c>
      <c r="H3" s="20" t="s">
        <v>938</v>
      </c>
      <c r="I3" s="20" t="s">
        <v>140</v>
      </c>
    </row>
    <row r="4" spans="1:9" s="20" customFormat="1" x14ac:dyDescent="0.25">
      <c r="A4" s="20" t="s">
        <v>939</v>
      </c>
      <c r="B4" s="20" t="s">
        <v>136</v>
      </c>
      <c r="C4" s="20" t="s">
        <v>265</v>
      </c>
      <c r="D4" s="20" t="s">
        <v>937</v>
      </c>
      <c r="F4" s="20" t="s">
        <v>914</v>
      </c>
      <c r="H4" s="20" t="s">
        <v>940</v>
      </c>
      <c r="I4" s="20" t="s">
        <v>149</v>
      </c>
    </row>
    <row r="5" spans="1:9" s="20" customFormat="1" x14ac:dyDescent="0.25">
      <c r="A5" s="20" t="s">
        <v>941</v>
      </c>
      <c r="B5" s="20" t="s">
        <v>553</v>
      </c>
      <c r="C5" s="20" t="s">
        <v>265</v>
      </c>
      <c r="D5" s="20" t="s">
        <v>942</v>
      </c>
      <c r="H5" s="20" t="s">
        <v>943</v>
      </c>
      <c r="I5" s="20" t="s">
        <v>140</v>
      </c>
    </row>
    <row r="6" spans="1:9" s="20" customFormat="1" x14ac:dyDescent="0.25">
      <c r="A6" s="20" t="s">
        <v>944</v>
      </c>
      <c r="B6" s="20" t="s">
        <v>553</v>
      </c>
      <c r="C6" s="20" t="s">
        <v>265</v>
      </c>
      <c r="D6" s="20" t="s">
        <v>942</v>
      </c>
      <c r="H6" s="20" t="s">
        <v>940</v>
      </c>
      <c r="I6" s="20" t="s">
        <v>149</v>
      </c>
    </row>
    <row r="7" spans="1:9" s="20" customFormat="1" x14ac:dyDescent="0.25">
      <c r="A7" s="20" t="s">
        <v>945</v>
      </c>
      <c r="B7" s="20" t="s">
        <v>136</v>
      </c>
      <c r="C7" s="20" t="s">
        <v>265</v>
      </c>
      <c r="D7" s="20" t="s">
        <v>946</v>
      </c>
      <c r="F7" s="20" t="s">
        <v>947</v>
      </c>
      <c r="H7" s="20" t="s">
        <v>948</v>
      </c>
      <c r="I7" s="20" t="s">
        <v>140</v>
      </c>
    </row>
    <row r="8" spans="1:9" s="20" customFormat="1" x14ac:dyDescent="0.25">
      <c r="A8" s="20" t="s">
        <v>949</v>
      </c>
      <c r="B8" s="20" t="s">
        <v>136</v>
      </c>
      <c r="C8" s="20" t="s">
        <v>265</v>
      </c>
      <c r="D8" s="20" t="s">
        <v>950</v>
      </c>
      <c r="F8" s="20" t="s">
        <v>947</v>
      </c>
      <c r="H8" s="20" t="s">
        <v>940</v>
      </c>
      <c r="I8" s="20" t="s">
        <v>149</v>
      </c>
    </row>
    <row r="9" spans="1:9" s="20" customFormat="1" x14ac:dyDescent="0.25"/>
    <row r="10" spans="1:9" s="20" customFormat="1" x14ac:dyDescent="0.25">
      <c r="A10" s="20" t="s">
        <v>951</v>
      </c>
      <c r="B10" s="20" t="s">
        <v>553</v>
      </c>
      <c r="C10" s="20" t="s">
        <v>265</v>
      </c>
      <c r="D10" s="20" t="s">
        <v>834</v>
      </c>
      <c r="H10" s="20" t="s">
        <v>952</v>
      </c>
      <c r="I10" s="20" t="s">
        <v>140</v>
      </c>
    </row>
    <row r="11" spans="1:9" s="20" customFormat="1" x14ac:dyDescent="0.25">
      <c r="A11" s="20" t="s">
        <v>953</v>
      </c>
      <c r="B11" s="20" t="s">
        <v>136</v>
      </c>
      <c r="C11" s="20" t="s">
        <v>265</v>
      </c>
      <c r="D11" s="20" t="s">
        <v>954</v>
      </c>
      <c r="F11" s="20" t="s">
        <v>955</v>
      </c>
      <c r="I11" s="20" t="s">
        <v>140</v>
      </c>
    </row>
    <row r="12" spans="1:9" s="20" customFormat="1" x14ac:dyDescent="0.25"/>
    <row r="13" spans="1:9" s="20" customFormat="1" x14ac:dyDescent="0.25">
      <c r="A13" s="20" t="s">
        <v>956</v>
      </c>
      <c r="B13" s="20" t="s">
        <v>136</v>
      </c>
      <c r="C13" s="20" t="s">
        <v>265</v>
      </c>
      <c r="D13" s="20" t="s">
        <v>957</v>
      </c>
      <c r="F13" s="20" t="s">
        <v>958</v>
      </c>
      <c r="H13" s="20" t="s">
        <v>959</v>
      </c>
      <c r="I13" s="20" t="s">
        <v>140</v>
      </c>
    </row>
    <row r="14" spans="1:9" s="20" customFormat="1" x14ac:dyDescent="0.25">
      <c r="A14" s="20" t="s">
        <v>960</v>
      </c>
      <c r="B14" s="20" t="s">
        <v>136</v>
      </c>
      <c r="C14" s="20" t="s">
        <v>265</v>
      </c>
      <c r="D14" s="20" t="s">
        <v>961</v>
      </c>
      <c r="F14" s="20" t="s">
        <v>962</v>
      </c>
      <c r="H14" s="20" t="s">
        <v>963</v>
      </c>
      <c r="I14" s="20" t="s">
        <v>140</v>
      </c>
    </row>
    <row r="15" spans="1:9" s="20" customFormat="1" x14ac:dyDescent="0.25"/>
    <row r="16" spans="1:9" s="20" customFormat="1" x14ac:dyDescent="0.25">
      <c r="A16" s="20" t="s">
        <v>964</v>
      </c>
      <c r="B16" s="20" t="s">
        <v>136</v>
      </c>
      <c r="C16" s="20" t="s">
        <v>265</v>
      </c>
      <c r="D16" s="20" t="s">
        <v>965</v>
      </c>
      <c r="H16" s="20" t="s">
        <v>966</v>
      </c>
      <c r="I16" s="20" t="s">
        <v>149</v>
      </c>
    </row>
    <row r="17" spans="1:9" s="20" customFormat="1" x14ac:dyDescent="0.25"/>
    <row r="18" spans="1:9" s="20" customFormat="1" x14ac:dyDescent="0.25">
      <c r="A18" s="20" t="s">
        <v>967</v>
      </c>
      <c r="B18" s="20" t="s">
        <v>136</v>
      </c>
      <c r="C18" s="20" t="s">
        <v>265</v>
      </c>
      <c r="D18" s="20" t="s">
        <v>968</v>
      </c>
      <c r="H18" s="20" t="s">
        <v>969</v>
      </c>
      <c r="I18" s="20" t="s">
        <v>149</v>
      </c>
    </row>
    <row r="19" spans="1:9" s="20" customFormat="1" x14ac:dyDescent="0.25">
      <c r="A19" s="20" t="s">
        <v>970</v>
      </c>
      <c r="B19" s="20" t="s">
        <v>136</v>
      </c>
      <c r="C19" s="20" t="s">
        <v>265</v>
      </c>
      <c r="D19" s="20" t="s">
        <v>971</v>
      </c>
      <c r="I19" s="20" t="s">
        <v>149</v>
      </c>
    </row>
    <row r="20" spans="1:9" s="20" customFormat="1" x14ac:dyDescent="0.25">
      <c r="A20" s="20" t="s">
        <v>972</v>
      </c>
      <c r="B20" s="20" t="s">
        <v>136</v>
      </c>
      <c r="C20" s="20" t="s">
        <v>265</v>
      </c>
      <c r="D20" s="20" t="s">
        <v>973</v>
      </c>
      <c r="I20" s="20" t="s">
        <v>149</v>
      </c>
    </row>
    <row r="24" spans="1:9" x14ac:dyDescent="0.25">
      <c r="F24" s="20" t="s">
        <v>914</v>
      </c>
    </row>
    <row r="25" spans="1:9" x14ac:dyDescent="0.25">
      <c r="F25" t="s">
        <v>974</v>
      </c>
    </row>
    <row r="26" spans="1:9" x14ac:dyDescent="0.25">
      <c r="F26" t="s">
        <v>975</v>
      </c>
    </row>
    <row r="27" spans="1:9" x14ac:dyDescent="0.25">
      <c r="F27" t="s">
        <v>976</v>
      </c>
    </row>
    <row r="28" spans="1:9" x14ac:dyDescent="0.25">
      <c r="F28" t="s">
        <v>977</v>
      </c>
    </row>
    <row r="29" spans="1:9" x14ac:dyDescent="0.25">
      <c r="F29" t="s">
        <v>978</v>
      </c>
    </row>
    <row r="30" spans="1:9" x14ac:dyDescent="0.25">
      <c r="F30" t="s">
        <v>979</v>
      </c>
    </row>
    <row r="31" spans="1:9" x14ac:dyDescent="0.25">
      <c r="F31" t="s">
        <v>980</v>
      </c>
    </row>
    <row r="32" spans="1:9" x14ac:dyDescent="0.25">
      <c r="F32" t="s">
        <v>981</v>
      </c>
    </row>
    <row r="33" spans="6:7" x14ac:dyDescent="0.25">
      <c r="F33" t="s">
        <v>982</v>
      </c>
    </row>
    <row r="34" spans="6:7" x14ac:dyDescent="0.25">
      <c r="F34" t="s">
        <v>983</v>
      </c>
    </row>
    <row r="35" spans="6:7" x14ac:dyDescent="0.25">
      <c r="F35" t="s">
        <v>937</v>
      </c>
    </row>
    <row r="36" spans="6:7" x14ac:dyDescent="0.25">
      <c r="F36" t="s">
        <v>984</v>
      </c>
    </row>
    <row r="37" spans="6:7" x14ac:dyDescent="0.25">
      <c r="F37" t="s">
        <v>985</v>
      </c>
    </row>
    <row r="38" spans="6:7" x14ac:dyDescent="0.25">
      <c r="F38" t="s">
        <v>986</v>
      </c>
    </row>
    <row r="39" spans="6:7" x14ac:dyDescent="0.25">
      <c r="F39" t="s">
        <v>987</v>
      </c>
    </row>
    <row r="40" spans="6:7" x14ac:dyDescent="0.25">
      <c r="F40" t="s">
        <v>988</v>
      </c>
    </row>
    <row r="44" spans="6:7" x14ac:dyDescent="0.25">
      <c r="F44" t="s">
        <v>962</v>
      </c>
    </row>
    <row r="45" spans="6:7" x14ac:dyDescent="0.25">
      <c r="F45" t="s">
        <v>974</v>
      </c>
    </row>
    <row r="46" spans="6:7" x14ac:dyDescent="0.25">
      <c r="F46" s="10" t="s">
        <v>961</v>
      </c>
      <c r="G46" s="10"/>
    </row>
    <row r="47" spans="6:7" x14ac:dyDescent="0.25">
      <c r="F47" s="10" t="s">
        <v>989</v>
      </c>
      <c r="G47" s="10"/>
    </row>
  </sheetData>
  <conditionalFormatting sqref="A3:I20">
    <cfRule type="expression" dxfId="9" priority="35">
      <formula>$I3="Grå"</formula>
    </cfRule>
    <cfRule type="expression" dxfId="8" priority="36">
      <formula>$I3="Svart"</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EC68-148C-4FB1-8BF1-3CEA7BD200A9}">
  <sheetPr>
    <tabColor rgb="FF6D9CFB"/>
  </sheetPr>
  <dimension ref="A1:I32"/>
  <sheetViews>
    <sheetView workbookViewId="0">
      <selection activeCell="A3" sqref="A3:B20"/>
    </sheetView>
  </sheetViews>
  <sheetFormatPr defaultColWidth="9.140625" defaultRowHeight="15" x14ac:dyDescent="0.25"/>
  <cols>
    <col min="1" max="1" width="31.5703125" customWidth="1"/>
    <col min="2" max="2" width="9" customWidth="1"/>
    <col min="3" max="3" width="9.7109375" customWidth="1"/>
    <col min="4" max="4" width="37.5703125" bestFit="1" customWidth="1"/>
    <col min="5" max="5" width="37.5703125" customWidth="1"/>
    <col min="6" max="6" width="14" bestFit="1" customWidth="1"/>
    <col min="7" max="7" width="14" customWidth="1"/>
    <col min="8" max="8" width="96.85546875" bestFit="1" customWidth="1"/>
  </cols>
  <sheetData>
    <row r="1" spans="1:9" ht="21" x14ac:dyDescent="0.35">
      <c r="A1" s="2" t="s">
        <v>75</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990</v>
      </c>
      <c r="B3" s="20" t="s">
        <v>136</v>
      </c>
      <c r="C3" s="20" t="s">
        <v>265</v>
      </c>
      <c r="D3" s="20" t="s">
        <v>991</v>
      </c>
      <c r="H3" s="20" t="s">
        <v>992</v>
      </c>
      <c r="I3" s="20" t="s">
        <v>140</v>
      </c>
    </row>
    <row r="4" spans="1:9" s="20" customFormat="1" x14ac:dyDescent="0.25">
      <c r="A4" s="20" t="s">
        <v>993</v>
      </c>
      <c r="B4" s="20" t="s">
        <v>591</v>
      </c>
      <c r="C4" s="20" t="s">
        <v>265</v>
      </c>
      <c r="D4" s="20">
        <v>4</v>
      </c>
      <c r="H4" s="20" t="s">
        <v>994</v>
      </c>
      <c r="I4" s="20" t="s">
        <v>140</v>
      </c>
    </row>
    <row r="5" spans="1:9" s="20" customFormat="1" x14ac:dyDescent="0.25">
      <c r="A5" s="20" t="s">
        <v>995</v>
      </c>
      <c r="B5" s="20" t="s">
        <v>553</v>
      </c>
      <c r="C5" s="20" t="s">
        <v>265</v>
      </c>
      <c r="D5" s="20" t="s">
        <v>996</v>
      </c>
      <c r="H5" s="20" t="s">
        <v>997</v>
      </c>
      <c r="I5" s="20" t="s">
        <v>140</v>
      </c>
    </row>
    <row r="6" spans="1:9" s="20" customFormat="1" x14ac:dyDescent="0.25">
      <c r="A6" s="20" t="s">
        <v>998</v>
      </c>
      <c r="B6" s="20" t="s">
        <v>553</v>
      </c>
      <c r="C6" s="20" t="s">
        <v>265</v>
      </c>
      <c r="D6" s="20" t="s">
        <v>834</v>
      </c>
      <c r="H6" s="20" t="s">
        <v>999</v>
      </c>
      <c r="I6" s="20" t="s">
        <v>140</v>
      </c>
    </row>
    <row r="7" spans="1:9" s="20" customFormat="1" x14ac:dyDescent="0.25">
      <c r="A7" s="20" t="s">
        <v>1000</v>
      </c>
      <c r="B7" s="20" t="s">
        <v>136</v>
      </c>
      <c r="C7" s="20" t="s">
        <v>265</v>
      </c>
      <c r="D7" s="20" t="s">
        <v>1001</v>
      </c>
      <c r="H7" s="20" t="s">
        <v>1002</v>
      </c>
      <c r="I7" s="20" t="s">
        <v>140</v>
      </c>
    </row>
    <row r="8" spans="1:9" s="20" customFormat="1" x14ac:dyDescent="0.25">
      <c r="A8" s="20" t="s">
        <v>1003</v>
      </c>
      <c r="B8" s="20" t="s">
        <v>136</v>
      </c>
      <c r="C8" s="20" t="s">
        <v>265</v>
      </c>
      <c r="D8" s="20" t="s">
        <v>1004</v>
      </c>
      <c r="E8" s="20" t="s">
        <v>1005</v>
      </c>
      <c r="H8" s="20" t="s">
        <v>1006</v>
      </c>
      <c r="I8" s="20" t="s">
        <v>140</v>
      </c>
    </row>
    <row r="9" spans="1:9" s="20" customFormat="1" x14ac:dyDescent="0.25"/>
    <row r="10" spans="1:9" s="20" customFormat="1" x14ac:dyDescent="0.25">
      <c r="A10" s="20" t="s">
        <v>1007</v>
      </c>
      <c r="B10" s="20" t="s">
        <v>553</v>
      </c>
      <c r="C10" s="20" t="s">
        <v>265</v>
      </c>
      <c r="D10" s="20" t="s">
        <v>1008</v>
      </c>
      <c r="H10" s="20" t="s">
        <v>1009</v>
      </c>
      <c r="I10" s="20" t="s">
        <v>140</v>
      </c>
    </row>
    <row r="11" spans="1:9" s="20" customFormat="1" x14ac:dyDescent="0.25">
      <c r="A11" s="20" t="s">
        <v>1010</v>
      </c>
      <c r="B11" s="20" t="s">
        <v>136</v>
      </c>
      <c r="C11" s="20" t="s">
        <v>265</v>
      </c>
      <c r="D11" s="20" t="s">
        <v>1011</v>
      </c>
      <c r="H11" s="20" t="s">
        <v>1012</v>
      </c>
      <c r="I11" s="20" t="s">
        <v>140</v>
      </c>
    </row>
    <row r="12" spans="1:9" s="20" customFormat="1" x14ac:dyDescent="0.25"/>
    <row r="13" spans="1:9" s="20" customFormat="1" x14ac:dyDescent="0.25">
      <c r="A13" s="20" t="s">
        <v>1013</v>
      </c>
      <c r="B13" s="20" t="s">
        <v>331</v>
      </c>
      <c r="C13" s="20" t="s">
        <v>265</v>
      </c>
      <c r="D13" s="20">
        <v>10.5</v>
      </c>
      <c r="H13" s="20" t="s">
        <v>1014</v>
      </c>
      <c r="I13" s="20" t="s">
        <v>149</v>
      </c>
    </row>
    <row r="14" spans="1:9" s="20" customFormat="1" x14ac:dyDescent="0.25">
      <c r="A14" s="20" t="s">
        <v>1015</v>
      </c>
      <c r="B14" s="20" t="s">
        <v>136</v>
      </c>
      <c r="C14" s="20" t="s">
        <v>265</v>
      </c>
      <c r="D14" s="20" t="s">
        <v>1016</v>
      </c>
      <c r="F14" s="20" t="s">
        <v>914</v>
      </c>
      <c r="H14" s="20" t="s">
        <v>1017</v>
      </c>
      <c r="I14" s="20" t="s">
        <v>149</v>
      </c>
    </row>
    <row r="15" spans="1:9" s="20" customFormat="1" x14ac:dyDescent="0.25"/>
    <row r="16" spans="1:9" s="20" customFormat="1" x14ac:dyDescent="0.25">
      <c r="A16" s="20" t="s">
        <v>1018</v>
      </c>
      <c r="B16" s="20" t="s">
        <v>136</v>
      </c>
      <c r="C16" s="20" t="s">
        <v>265</v>
      </c>
      <c r="D16" s="20" t="s">
        <v>1019</v>
      </c>
      <c r="H16" s="20" t="s">
        <v>1020</v>
      </c>
      <c r="I16" s="20" t="s">
        <v>140</v>
      </c>
    </row>
    <row r="17" spans="1:9" s="20" customFormat="1" x14ac:dyDescent="0.25">
      <c r="A17" s="20" t="s">
        <v>1021</v>
      </c>
      <c r="B17" s="20" t="s">
        <v>591</v>
      </c>
      <c r="C17" s="20" t="s">
        <v>265</v>
      </c>
      <c r="D17" s="20">
        <v>4</v>
      </c>
      <c r="H17" s="20" t="s">
        <v>1022</v>
      </c>
      <c r="I17" s="20" t="s">
        <v>140</v>
      </c>
    </row>
    <row r="18" spans="1:9" s="20" customFormat="1" x14ac:dyDescent="0.25"/>
    <row r="19" spans="1:9" s="20" customFormat="1" x14ac:dyDescent="0.25">
      <c r="A19" s="20" t="s">
        <v>1023</v>
      </c>
      <c r="B19" s="20" t="s">
        <v>136</v>
      </c>
      <c r="C19" s="20" t="s">
        <v>265</v>
      </c>
      <c r="D19" s="20" t="s">
        <v>1024</v>
      </c>
      <c r="H19" s="20" t="s">
        <v>1025</v>
      </c>
      <c r="I19" s="20" t="s">
        <v>140</v>
      </c>
    </row>
    <row r="20" spans="1:9" s="20" customFormat="1" x14ac:dyDescent="0.25">
      <c r="A20" s="20" t="s">
        <v>1026</v>
      </c>
      <c r="B20" s="20" t="s">
        <v>591</v>
      </c>
      <c r="C20" s="20" t="s">
        <v>265</v>
      </c>
      <c r="D20" s="20">
        <v>4</v>
      </c>
      <c r="H20" s="20" t="s">
        <v>1027</v>
      </c>
      <c r="I20" s="20" t="s">
        <v>140</v>
      </c>
    </row>
    <row r="24" spans="1:9" x14ac:dyDescent="0.25">
      <c r="F24" t="s">
        <v>914</v>
      </c>
    </row>
    <row r="25" spans="1:9" x14ac:dyDescent="0.25">
      <c r="A25" s="18"/>
      <c r="F25" t="s">
        <v>1028</v>
      </c>
    </row>
    <row r="26" spans="1:9" x14ac:dyDescent="0.25">
      <c r="A26" s="18"/>
      <c r="F26" t="s">
        <v>1016</v>
      </c>
    </row>
    <row r="27" spans="1:9" x14ac:dyDescent="0.25">
      <c r="A27" s="18"/>
      <c r="F27" t="s">
        <v>1029</v>
      </c>
    </row>
    <row r="28" spans="1:9" x14ac:dyDescent="0.25">
      <c r="F28" t="s">
        <v>1030</v>
      </c>
    </row>
    <row r="29" spans="1:9" x14ac:dyDescent="0.25">
      <c r="F29" t="s">
        <v>1031</v>
      </c>
    </row>
    <row r="30" spans="1:9" x14ac:dyDescent="0.25">
      <c r="F30" t="s">
        <v>1032</v>
      </c>
    </row>
    <row r="31" spans="1:9" x14ac:dyDescent="0.25">
      <c r="F31" t="s">
        <v>1033</v>
      </c>
    </row>
    <row r="32" spans="1:9" x14ac:dyDescent="0.25">
      <c r="F32" t="s">
        <v>1034</v>
      </c>
    </row>
  </sheetData>
  <conditionalFormatting sqref="A3:I20">
    <cfRule type="expression" dxfId="7" priority="37">
      <formula>$I3="Grå"</formula>
    </cfRule>
    <cfRule type="expression" dxfId="6" priority="38">
      <formula>$I3="Svart"</formula>
    </cfRule>
  </conditionalFormatting>
  <pageMargins left="0.7" right="0.7" top="0.75" bottom="0.75" header="0.3" footer="0.3"/>
  <ignoredErrors>
    <ignoredError sqref="D7"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A616-8AC0-4ED5-A704-25C4E220D231}">
  <sheetPr>
    <tabColor rgb="FF6D9CFB"/>
  </sheetPr>
  <dimension ref="A1:I12"/>
  <sheetViews>
    <sheetView workbookViewId="0">
      <selection activeCell="A3" sqref="A3:XFD11"/>
    </sheetView>
  </sheetViews>
  <sheetFormatPr defaultColWidth="9.140625" defaultRowHeight="15" x14ac:dyDescent="0.25"/>
  <cols>
    <col min="1" max="1" width="34.5703125" bestFit="1" customWidth="1"/>
    <col min="2" max="2" width="9.140625" customWidth="1"/>
    <col min="3" max="3" width="8.28515625" customWidth="1"/>
    <col min="4" max="4" width="29.7109375" customWidth="1"/>
    <col min="5" max="5" width="28.7109375" customWidth="1"/>
    <col min="6" max="6" width="14" bestFit="1" customWidth="1"/>
    <col min="7" max="7" width="14" customWidth="1"/>
    <col min="8" max="8" width="47.28515625" bestFit="1" customWidth="1"/>
  </cols>
  <sheetData>
    <row r="1" spans="1:9" ht="21" x14ac:dyDescent="0.35">
      <c r="A1" s="2" t="s">
        <v>77</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1035</v>
      </c>
      <c r="B3" s="20" t="s">
        <v>136</v>
      </c>
      <c r="C3" s="20" t="s">
        <v>265</v>
      </c>
      <c r="D3" s="31" t="s">
        <v>749</v>
      </c>
      <c r="F3" s="20" t="s">
        <v>1036</v>
      </c>
      <c r="H3" s="20" t="s">
        <v>1037</v>
      </c>
      <c r="I3" s="20" t="s">
        <v>140</v>
      </c>
    </row>
    <row r="4" spans="1:9" s="20" customFormat="1" x14ac:dyDescent="0.25">
      <c r="A4" s="20" t="s">
        <v>1038</v>
      </c>
      <c r="B4" s="20" t="s">
        <v>136</v>
      </c>
      <c r="C4" s="20" t="s">
        <v>265</v>
      </c>
      <c r="D4" s="31" t="s">
        <v>749</v>
      </c>
      <c r="F4" s="20" t="s">
        <v>1036</v>
      </c>
      <c r="H4" s="20" t="s">
        <v>1039</v>
      </c>
      <c r="I4" s="20" t="s">
        <v>140</v>
      </c>
    </row>
    <row r="5" spans="1:9" s="20" customFormat="1" x14ac:dyDescent="0.25">
      <c r="A5" s="20" t="s">
        <v>1040</v>
      </c>
      <c r="B5" s="20" t="s">
        <v>136</v>
      </c>
      <c r="C5" s="20" t="s">
        <v>265</v>
      </c>
      <c r="D5" s="20" t="s">
        <v>1041</v>
      </c>
      <c r="F5" s="20" t="s">
        <v>1042</v>
      </c>
      <c r="H5" s="20" t="s">
        <v>1043</v>
      </c>
      <c r="I5" s="20" t="s">
        <v>140</v>
      </c>
    </row>
    <row r="6" spans="1:9" s="20" customFormat="1" x14ac:dyDescent="0.25">
      <c r="A6" s="20" t="s">
        <v>1044</v>
      </c>
      <c r="B6" s="20" t="s">
        <v>136</v>
      </c>
      <c r="C6" s="20" t="s">
        <v>265</v>
      </c>
      <c r="D6" s="20" t="s">
        <v>1045</v>
      </c>
      <c r="F6" s="20" t="s">
        <v>1046</v>
      </c>
      <c r="H6" s="20" t="s">
        <v>1047</v>
      </c>
      <c r="I6" s="20" t="s">
        <v>140</v>
      </c>
    </row>
    <row r="7" spans="1:9" s="20" customFormat="1" x14ac:dyDescent="0.25">
      <c r="A7" s="20" t="s">
        <v>1048</v>
      </c>
      <c r="B7" s="20" t="s">
        <v>136</v>
      </c>
      <c r="C7" s="20" t="s">
        <v>265</v>
      </c>
      <c r="D7" s="20" t="s">
        <v>1045</v>
      </c>
      <c r="F7" s="20" t="s">
        <v>1046</v>
      </c>
      <c r="H7" s="20" t="s">
        <v>1047</v>
      </c>
      <c r="I7" s="20" t="s">
        <v>149</v>
      </c>
    </row>
    <row r="8" spans="1:9" s="20" customFormat="1" x14ac:dyDescent="0.25"/>
    <row r="9" spans="1:9" s="20" customFormat="1" x14ac:dyDescent="0.25">
      <c r="A9" s="20" t="s">
        <v>1049</v>
      </c>
      <c r="B9" s="20" t="s">
        <v>136</v>
      </c>
      <c r="C9" s="20" t="s">
        <v>265</v>
      </c>
      <c r="D9" s="20" t="s">
        <v>1050</v>
      </c>
      <c r="H9" s="20" t="s">
        <v>1051</v>
      </c>
      <c r="I9" s="20" t="s">
        <v>149</v>
      </c>
    </row>
    <row r="10" spans="1:9" s="20" customFormat="1" x14ac:dyDescent="0.25">
      <c r="A10" s="20" t="s">
        <v>1052</v>
      </c>
      <c r="B10" s="20" t="s">
        <v>136</v>
      </c>
      <c r="C10" s="20" t="s">
        <v>265</v>
      </c>
      <c r="D10" s="20" t="s">
        <v>1053</v>
      </c>
      <c r="H10" s="20" t="s">
        <v>1054</v>
      </c>
      <c r="I10" s="20" t="s">
        <v>140</v>
      </c>
    </row>
    <row r="11" spans="1:9" s="20" customFormat="1" x14ac:dyDescent="0.25">
      <c r="A11" s="20" t="s">
        <v>1055</v>
      </c>
      <c r="B11" s="20" t="s">
        <v>136</v>
      </c>
      <c r="C11" s="20" t="s">
        <v>265</v>
      </c>
      <c r="D11" s="20" t="s">
        <v>1056</v>
      </c>
      <c r="H11" s="20" t="s">
        <v>1057</v>
      </c>
      <c r="I11" s="20" t="s">
        <v>140</v>
      </c>
    </row>
    <row r="12" spans="1:9" x14ac:dyDescent="0.25">
      <c r="A12" s="11"/>
    </row>
  </sheetData>
  <conditionalFormatting sqref="A3:I11">
    <cfRule type="expression" dxfId="5" priority="39">
      <formula>$I3="Grå"</formula>
    </cfRule>
    <cfRule type="expression" dxfId="4" priority="40">
      <formula>$I3="Svart"</formula>
    </cfRule>
  </conditionalFormatting>
  <pageMargins left="0.7" right="0.7" top="0.75" bottom="0.75" header="0.3" footer="0.3"/>
  <pageSetup paperSize="9" orientation="portrait" horizontalDpi="30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80018-EDFC-4C29-81C9-D9D704A38002}">
  <sheetPr>
    <tabColor rgb="FF6D9CFB"/>
  </sheetPr>
  <dimension ref="A1:I11"/>
  <sheetViews>
    <sheetView workbookViewId="0">
      <selection activeCell="A3" sqref="A3:XFD8"/>
    </sheetView>
  </sheetViews>
  <sheetFormatPr defaultColWidth="9.140625" defaultRowHeight="15" x14ac:dyDescent="0.25"/>
  <cols>
    <col min="1" max="1" width="55" customWidth="1"/>
    <col min="3" max="3" width="18.7109375" customWidth="1"/>
    <col min="4" max="4" width="69.140625" customWidth="1"/>
    <col min="5" max="5" width="38.7109375" customWidth="1"/>
    <col min="6" max="6" width="15.140625" customWidth="1"/>
    <col min="7" max="7" width="21.85546875" bestFit="1" customWidth="1"/>
    <col min="8" max="8" width="70.85546875" customWidth="1"/>
  </cols>
  <sheetData>
    <row r="1" spans="1:9" ht="21" x14ac:dyDescent="0.35">
      <c r="A1" s="2" t="s">
        <v>79</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1058</v>
      </c>
      <c r="B3" s="20" t="s">
        <v>1059</v>
      </c>
      <c r="C3" s="20" t="s">
        <v>265</v>
      </c>
      <c r="D3" s="20" t="s">
        <v>1060</v>
      </c>
      <c r="H3" s="20" t="s">
        <v>626</v>
      </c>
      <c r="I3" s="20" t="s">
        <v>140</v>
      </c>
    </row>
    <row r="4" spans="1:9" s="20" customFormat="1" x14ac:dyDescent="0.25">
      <c r="A4" s="20" t="s">
        <v>1061</v>
      </c>
      <c r="B4" s="20" t="s">
        <v>1059</v>
      </c>
      <c r="C4" s="20" t="s">
        <v>265</v>
      </c>
      <c r="D4" s="20" t="s">
        <v>1062</v>
      </c>
      <c r="H4" s="20" t="s">
        <v>1063</v>
      </c>
      <c r="I4" s="20" t="s">
        <v>140</v>
      </c>
    </row>
    <row r="5" spans="1:9" s="20" customFormat="1" x14ac:dyDescent="0.25">
      <c r="A5" s="20" t="s">
        <v>1064</v>
      </c>
      <c r="B5" s="20" t="s">
        <v>1059</v>
      </c>
      <c r="C5" s="20" t="s">
        <v>265</v>
      </c>
      <c r="D5" s="20" t="s">
        <v>1065</v>
      </c>
      <c r="H5" s="20" t="s">
        <v>1066</v>
      </c>
      <c r="I5" s="20" t="s">
        <v>140</v>
      </c>
    </row>
    <row r="6" spans="1:9" s="20" customFormat="1" x14ac:dyDescent="0.25">
      <c r="A6" s="20" t="s">
        <v>1067</v>
      </c>
      <c r="B6" s="20" t="s">
        <v>1059</v>
      </c>
      <c r="C6" s="20" t="s">
        <v>265</v>
      </c>
      <c r="D6" s="20" t="s">
        <v>1068</v>
      </c>
      <c r="H6" s="20" t="s">
        <v>1069</v>
      </c>
      <c r="I6" s="20" t="s">
        <v>140</v>
      </c>
    </row>
    <row r="7" spans="1:9" s="20" customFormat="1" x14ac:dyDescent="0.25">
      <c r="A7" s="20" t="s">
        <v>1070</v>
      </c>
      <c r="B7" s="20" t="s">
        <v>1059</v>
      </c>
      <c r="C7" s="20" t="s">
        <v>265</v>
      </c>
      <c r="D7" s="20" t="s">
        <v>1071</v>
      </c>
      <c r="H7" s="20" t="s">
        <v>1072</v>
      </c>
      <c r="I7" s="20" t="s">
        <v>149</v>
      </c>
    </row>
    <row r="8" spans="1:9" s="20" customFormat="1" x14ac:dyDescent="0.25"/>
    <row r="9" spans="1:9" x14ac:dyDescent="0.25">
      <c r="A9" s="4"/>
      <c r="B9" s="4"/>
      <c r="C9" s="4"/>
      <c r="D9" s="4"/>
      <c r="E9" s="4"/>
      <c r="F9" s="4"/>
      <c r="G9" s="4"/>
      <c r="H9" s="4"/>
      <c r="I9" s="4"/>
    </row>
    <row r="10" spans="1:9" x14ac:dyDescent="0.25">
      <c r="A10" s="4"/>
      <c r="B10" s="4"/>
      <c r="C10" s="4"/>
      <c r="D10" s="4"/>
      <c r="E10" s="4"/>
      <c r="F10" s="4"/>
      <c r="G10" s="4"/>
      <c r="H10" s="4"/>
      <c r="I10" s="4"/>
    </row>
    <row r="11" spans="1:9" x14ac:dyDescent="0.25">
      <c r="A11" s="4"/>
      <c r="B11" s="4"/>
      <c r="C11" s="4"/>
      <c r="D11" s="4"/>
      <c r="E11" s="4"/>
      <c r="F11" s="4"/>
      <c r="G11" s="4"/>
      <c r="H11" s="4"/>
      <c r="I11" s="4"/>
    </row>
  </sheetData>
  <conditionalFormatting sqref="A3:I7">
    <cfRule type="expression" dxfId="3" priority="41">
      <formula>$I3="Grå"</formula>
    </cfRule>
    <cfRule type="expression" dxfId="2" priority="42">
      <formula>$I3="Svart"</formula>
    </cfRule>
  </conditionalFormatting>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D2A71-37C4-4B07-BC9E-0C31B6870E22}">
  <sheetPr>
    <tabColor rgb="FF6D9CFB"/>
  </sheetPr>
  <dimension ref="A1:I32"/>
  <sheetViews>
    <sheetView zoomScaleNormal="100" workbookViewId="0">
      <selection activeCell="A3" sqref="A3:B23"/>
    </sheetView>
  </sheetViews>
  <sheetFormatPr defaultColWidth="9.140625" defaultRowHeight="15" x14ac:dyDescent="0.25"/>
  <cols>
    <col min="1" max="1" width="45" customWidth="1"/>
    <col min="2" max="2" width="23.28515625" customWidth="1"/>
    <col min="3" max="3" width="14.28515625" bestFit="1" customWidth="1"/>
    <col min="4" max="5" width="20.42578125" customWidth="1"/>
    <col min="6" max="6" width="14.28515625" bestFit="1" customWidth="1"/>
    <col min="7" max="7" width="14.28515625" customWidth="1"/>
    <col min="8" max="8" width="68.5703125" bestFit="1" customWidth="1"/>
  </cols>
  <sheetData>
    <row r="1" spans="1:9" ht="21" x14ac:dyDescent="0.35">
      <c r="A1" s="2" t="s">
        <v>81</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1073</v>
      </c>
      <c r="B3" s="20" t="s">
        <v>136</v>
      </c>
      <c r="C3" s="20" t="s">
        <v>265</v>
      </c>
      <c r="D3" s="20" t="s">
        <v>1074</v>
      </c>
      <c r="I3" s="20" t="s">
        <v>149</v>
      </c>
    </row>
    <row r="4" spans="1:9" s="20" customFormat="1" x14ac:dyDescent="0.25">
      <c r="A4" s="20" t="s">
        <v>1075</v>
      </c>
      <c r="B4" s="20" t="s">
        <v>553</v>
      </c>
      <c r="C4" s="20" t="s">
        <v>265</v>
      </c>
      <c r="H4" s="20" t="s">
        <v>1076</v>
      </c>
      <c r="I4" s="20" t="s">
        <v>149</v>
      </c>
    </row>
    <row r="5" spans="1:9" s="20" customFormat="1" x14ac:dyDescent="0.25">
      <c r="A5" s="20" t="s">
        <v>1077</v>
      </c>
      <c r="B5" s="20" t="s">
        <v>553</v>
      </c>
      <c r="C5" s="20" t="s">
        <v>265</v>
      </c>
      <c r="H5" s="20" t="s">
        <v>1078</v>
      </c>
      <c r="I5" s="20" t="s">
        <v>149</v>
      </c>
    </row>
    <row r="6" spans="1:9" s="20" customFormat="1" x14ac:dyDescent="0.25">
      <c r="A6" s="20" t="s">
        <v>1079</v>
      </c>
      <c r="B6" s="20" t="s">
        <v>553</v>
      </c>
      <c r="C6" s="20" t="s">
        <v>265</v>
      </c>
      <c r="H6" s="20" t="s">
        <v>1080</v>
      </c>
      <c r="I6" s="20" t="s">
        <v>149</v>
      </c>
    </row>
    <row r="7" spans="1:9" s="20" customFormat="1" x14ac:dyDescent="0.25">
      <c r="A7" s="20" t="s">
        <v>1081</v>
      </c>
      <c r="B7" s="20" t="s">
        <v>553</v>
      </c>
      <c r="C7" s="20" t="s">
        <v>265</v>
      </c>
      <c r="H7" s="20" t="s">
        <v>1082</v>
      </c>
      <c r="I7" s="20" t="s">
        <v>149</v>
      </c>
    </row>
    <row r="8" spans="1:9" s="20" customFormat="1" x14ac:dyDescent="0.25">
      <c r="A8" s="20" t="s">
        <v>1083</v>
      </c>
      <c r="B8" s="20" t="s">
        <v>553</v>
      </c>
      <c r="C8" s="20" t="s">
        <v>265</v>
      </c>
      <c r="H8" s="20" t="s">
        <v>1084</v>
      </c>
      <c r="I8" s="20" t="s">
        <v>149</v>
      </c>
    </row>
    <row r="9" spans="1:9" s="20" customFormat="1" x14ac:dyDescent="0.25">
      <c r="A9" s="20" t="s">
        <v>1085</v>
      </c>
      <c r="B9" s="20" t="s">
        <v>553</v>
      </c>
      <c r="C9" s="20" t="s">
        <v>265</v>
      </c>
      <c r="H9" s="20" t="s">
        <v>1086</v>
      </c>
      <c r="I9" s="20" t="s">
        <v>149</v>
      </c>
    </row>
    <row r="10" spans="1:9" s="20" customFormat="1" x14ac:dyDescent="0.25"/>
    <row r="11" spans="1:9" s="20" customFormat="1" x14ac:dyDescent="0.25">
      <c r="A11" s="20" t="s">
        <v>1087</v>
      </c>
      <c r="B11" s="20" t="s">
        <v>553</v>
      </c>
      <c r="C11" s="20" t="s">
        <v>265</v>
      </c>
      <c r="I11" s="20" t="s">
        <v>149</v>
      </c>
    </row>
    <row r="12" spans="1:9" s="20" customFormat="1" x14ac:dyDescent="0.25">
      <c r="A12" s="20" t="s">
        <v>1088</v>
      </c>
      <c r="B12" s="20" t="s">
        <v>553</v>
      </c>
      <c r="C12" s="20" t="s">
        <v>265</v>
      </c>
      <c r="I12" s="20" t="s">
        <v>149</v>
      </c>
    </row>
    <row r="13" spans="1:9" s="20" customFormat="1" x14ac:dyDescent="0.25">
      <c r="A13" s="20" t="s">
        <v>1089</v>
      </c>
      <c r="B13" s="20" t="s">
        <v>553</v>
      </c>
      <c r="C13" s="20" t="s">
        <v>265</v>
      </c>
      <c r="I13" s="20" t="s">
        <v>149</v>
      </c>
    </row>
    <row r="14" spans="1:9" s="20" customFormat="1" x14ac:dyDescent="0.25">
      <c r="A14" s="20" t="s">
        <v>1090</v>
      </c>
      <c r="B14" s="20" t="s">
        <v>553</v>
      </c>
      <c r="C14" s="20" t="s">
        <v>265</v>
      </c>
      <c r="I14" s="20" t="s">
        <v>149</v>
      </c>
    </row>
    <row r="15" spans="1:9" s="20" customFormat="1" x14ac:dyDescent="0.25">
      <c r="A15" s="20" t="s">
        <v>1091</v>
      </c>
      <c r="B15" s="20" t="s">
        <v>553</v>
      </c>
      <c r="C15" s="20" t="s">
        <v>265</v>
      </c>
      <c r="I15" s="20" t="s">
        <v>149</v>
      </c>
    </row>
    <row r="16" spans="1:9" s="20" customFormat="1" x14ac:dyDescent="0.25"/>
    <row r="17" spans="1:9" s="20" customFormat="1" x14ac:dyDescent="0.25">
      <c r="A17" s="20" t="s">
        <v>1092</v>
      </c>
      <c r="B17" s="20" t="s">
        <v>136</v>
      </c>
      <c r="C17" s="20" t="s">
        <v>1093</v>
      </c>
      <c r="D17" s="20" t="s">
        <v>1094</v>
      </c>
      <c r="H17" s="20" t="s">
        <v>1095</v>
      </c>
      <c r="I17" s="20" t="s">
        <v>149</v>
      </c>
    </row>
    <row r="18" spans="1:9" s="20" customFormat="1" x14ac:dyDescent="0.25">
      <c r="A18" s="20" t="s">
        <v>1096</v>
      </c>
      <c r="B18" s="20" t="s">
        <v>331</v>
      </c>
      <c r="C18" s="20" t="s">
        <v>1093</v>
      </c>
      <c r="D18" s="20">
        <v>32012.23</v>
      </c>
      <c r="H18" s="20" t="s">
        <v>1097</v>
      </c>
      <c r="I18" s="20" t="s">
        <v>149</v>
      </c>
    </row>
    <row r="19" spans="1:9" s="20" customFormat="1" x14ac:dyDescent="0.25">
      <c r="A19" s="20" t="s">
        <v>1098</v>
      </c>
      <c r="B19" s="20" t="s">
        <v>553</v>
      </c>
      <c r="C19" s="20" t="s">
        <v>1093</v>
      </c>
      <c r="D19" s="20">
        <v>350</v>
      </c>
      <c r="H19" s="20" t="s">
        <v>1099</v>
      </c>
      <c r="I19" s="20" t="s">
        <v>149</v>
      </c>
    </row>
    <row r="20" spans="1:9" s="20" customFormat="1" x14ac:dyDescent="0.25">
      <c r="A20" s="20" t="s">
        <v>1100</v>
      </c>
      <c r="B20" s="20" t="s">
        <v>553</v>
      </c>
      <c r="C20" s="20" t="s">
        <v>1093</v>
      </c>
      <c r="D20" s="20">
        <v>1205</v>
      </c>
      <c r="H20" s="20" t="s">
        <v>1101</v>
      </c>
      <c r="I20" s="20" t="s">
        <v>149</v>
      </c>
    </row>
    <row r="21" spans="1:9" s="20" customFormat="1" x14ac:dyDescent="0.25">
      <c r="A21" s="20" t="s">
        <v>1102</v>
      </c>
      <c r="B21" s="20" t="s">
        <v>553</v>
      </c>
      <c r="C21" s="20" t="s">
        <v>1093</v>
      </c>
      <c r="D21" s="20">
        <v>263139.39</v>
      </c>
      <c r="H21" s="20" t="s">
        <v>1103</v>
      </c>
      <c r="I21" s="20" t="s">
        <v>149</v>
      </c>
    </row>
    <row r="22" spans="1:9" s="20" customFormat="1" x14ac:dyDescent="0.25">
      <c r="A22" s="20" t="s">
        <v>1104</v>
      </c>
      <c r="B22" s="20" t="s">
        <v>553</v>
      </c>
      <c r="C22" s="20" t="s">
        <v>1093</v>
      </c>
      <c r="D22" s="20">
        <v>6649575.96</v>
      </c>
      <c r="H22" s="20" t="s">
        <v>1105</v>
      </c>
      <c r="I22" s="20" t="s">
        <v>149</v>
      </c>
    </row>
    <row r="23" spans="1:9" s="20" customFormat="1" x14ac:dyDescent="0.25">
      <c r="A23" s="20" t="s">
        <v>1106</v>
      </c>
      <c r="B23" s="20" t="s">
        <v>553</v>
      </c>
      <c r="C23" s="20" t="s">
        <v>1093</v>
      </c>
      <c r="D23" s="20">
        <v>123.45</v>
      </c>
      <c r="H23" s="20" t="s">
        <v>1107</v>
      </c>
      <c r="I23" s="20" t="s">
        <v>149</v>
      </c>
    </row>
    <row r="24" spans="1:9" s="20" customFormat="1" x14ac:dyDescent="0.25"/>
    <row r="25" spans="1:9" x14ac:dyDescent="0.25">
      <c r="A25" s="5" t="s">
        <v>1108</v>
      </c>
    </row>
    <row r="26" spans="1:9" x14ac:dyDescent="0.25">
      <c r="A26" s="5" t="s">
        <v>1109</v>
      </c>
    </row>
    <row r="29" spans="1:9" x14ac:dyDescent="0.25">
      <c r="A29" s="21"/>
    </row>
    <row r="30" spans="1:9" x14ac:dyDescent="0.25">
      <c r="A30" s="20"/>
    </row>
    <row r="31" spans="1:9" x14ac:dyDescent="0.25">
      <c r="A31" s="12"/>
      <c r="B31" s="12"/>
      <c r="C31" s="12"/>
      <c r="D31" s="12"/>
      <c r="E31" s="12"/>
      <c r="F31" s="22"/>
      <c r="G31" s="22"/>
      <c r="H31" s="12"/>
    </row>
    <row r="32" spans="1:9" x14ac:dyDescent="0.25">
      <c r="A32" s="12"/>
      <c r="B32" s="12"/>
      <c r="C32" s="12"/>
      <c r="D32" s="12"/>
      <c r="E32" s="12"/>
      <c r="F32" s="22"/>
      <c r="G32" s="22"/>
      <c r="H32" s="12"/>
    </row>
  </sheetData>
  <conditionalFormatting sqref="A3:I23">
    <cfRule type="expression" dxfId="1" priority="43">
      <formula>$I3="Grå"</formula>
    </cfRule>
    <cfRule type="expression" dxfId="0" priority="44">
      <formula>$I3="Svart"</formula>
    </cfRule>
  </conditionalFormatting>
  <pageMargins left="0.7" right="0.7" top="0.75" bottom="0.75" header="0.3" footer="0.3"/>
  <pageSetup paperSize="9" orientation="portrait" horizontalDpi="30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c505a3a6-8e8a-47f0-9487-e261b3244898">
      <UserInfo>
        <DisplayName>Inge Handagard</DisplayName>
        <AccountId>32</AccountId>
        <AccountType/>
      </UserInfo>
    </SharedWithUsers>
    <lcf76f155ced4ddcb4097134ff3c332f xmlns="21e92a0e-ca46-40b5-ac8f-045718af97db">
      <Terms xmlns="http://schemas.microsoft.com/office/infopath/2007/PartnerControls"/>
    </lcf76f155ced4ddcb4097134ff3c332f>
    <TaxCatchAll xmlns="c505a3a6-8e8a-47f0-9487-e261b324489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04CF3E58B532A40B457D8441EE99344" ma:contentTypeVersion="13" ma:contentTypeDescription="Create a new document." ma:contentTypeScope="" ma:versionID="72cebed55f50441ccc8ebb96c9c7cfba">
  <xsd:schema xmlns:xsd="http://www.w3.org/2001/XMLSchema" xmlns:xs="http://www.w3.org/2001/XMLSchema" xmlns:p="http://schemas.microsoft.com/office/2006/metadata/properties" xmlns:ns2="21e92a0e-ca46-40b5-ac8f-045718af97db" xmlns:ns3="c505a3a6-8e8a-47f0-9487-e261b3244898" targetNamespace="http://schemas.microsoft.com/office/2006/metadata/properties" ma:root="true" ma:fieldsID="06ce26c6a63d71be4e621e0e81bb6a27" ns2:_="" ns3:_="">
    <xsd:import namespace="21e92a0e-ca46-40b5-ac8f-045718af97db"/>
    <xsd:import namespace="c505a3a6-8e8a-47f0-9487-e261b324489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e92a0e-ca46-40b5-ac8f-045718af97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ba8a11-c170-4d93-a6b3-de3dc91d54c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05a3a6-8e8a-47f0-9487-e261b324489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815eaf7-6548-4924-b20a-31e8e0d8c703}" ma:internalName="TaxCatchAll" ma:showField="CatchAllData" ma:web="c505a3a6-8e8a-47f0-9487-e261b3244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BD2EFE-208C-4ADF-B9FC-AAC0BB48727C}">
  <ds:schemaRefs>
    <ds:schemaRef ds:uri="http://purl.org/dc/dcmitype/"/>
    <ds:schemaRef ds:uri="http://purl.org/dc/terms/"/>
    <ds:schemaRef ds:uri="http://schemas.microsoft.com/office/2006/metadata/properties"/>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21e92a0e-ca46-40b5-ac8f-045718af97db"/>
    <ds:schemaRef ds:uri="c505a3a6-8e8a-47f0-9487-e261b3244898"/>
    <ds:schemaRef ds:uri="http://www.w3.org/XML/1998/namespace"/>
  </ds:schemaRefs>
</ds:datastoreItem>
</file>

<file path=customXml/itemProps2.xml><?xml version="1.0" encoding="utf-8"?>
<ds:datastoreItem xmlns:ds="http://schemas.openxmlformats.org/officeDocument/2006/customXml" ds:itemID="{3B780AD7-2829-4E66-BE50-16A5CB8735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e92a0e-ca46-40b5-ac8f-045718af97db"/>
    <ds:schemaRef ds:uri="c505a3a6-8e8a-47f0-9487-e261b32448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E5DD0AB-45F7-48A1-A0B6-CA5621869649}">
  <ds:schemaRefs>
    <ds:schemaRef ds:uri="http://schemas.microsoft.com/sharepoint/v3/contenttype/forms"/>
  </ds:schemaRefs>
</ds:datastoreItem>
</file>

<file path=docMetadata/LabelInfo.xml><?xml version="1.0" encoding="utf-8"?>
<clbl:labelList xmlns:clbl="http://schemas.microsoft.com/office/2020/mipLabelMetadata">
  <clbl:label id="{ce25ca93-004f-44f4-a6b5-eb22b45815aa}" enabled="0" method="" siteId="{ce25ca93-004f-44f4-a6b5-eb22b45815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Forside</vt:lpstr>
      <vt:lpstr>Oversikt</vt:lpstr>
      <vt:lpstr>BIM_Modellinfo</vt:lpstr>
      <vt:lpstr>BIM_Tverrfaglig</vt:lpstr>
      <vt:lpstr>BIM_Beskrivelse</vt:lpstr>
      <vt:lpstr>BIM_FDV</vt:lpstr>
      <vt:lpstr>KON_Felles</vt:lpstr>
      <vt:lpstr>KON_Betong</vt:lpstr>
      <vt:lpstr>KON_Armering</vt:lpstr>
      <vt:lpstr>KON_Spennarmering</vt:lpstr>
      <vt:lpstr>KON_Lager</vt:lpstr>
      <vt:lpstr>KON_Peler</vt:lpstr>
      <vt:lpstr>KON_Fuger</vt:lpstr>
      <vt:lpstr>KON_Stål</vt:lpstr>
      <vt:lpstr>KON_Sveis</vt:lpstr>
      <vt:lpstr>KON_Festemidler</vt:lpstr>
      <vt:lpstr>KON_Tre</vt:lpstr>
      <vt:lpstr>KON_Løsmasser</vt:lpstr>
      <vt:lpstr>KON_Geometri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Østgulen</dc:creator>
  <cp:keywords/>
  <dc:description/>
  <cp:lastModifiedBy>Fredrik Jacobsen</cp:lastModifiedBy>
  <cp:revision/>
  <dcterms:created xsi:type="dcterms:W3CDTF">2023-10-09T08:31:52Z</dcterms:created>
  <dcterms:modified xsi:type="dcterms:W3CDTF">2026-01-29T08:07:01Z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nleggstype">
    <vt:lpwstr/>
  </property>
  <property fmtid="{D5CDD505-2E9C-101B-9397-08002B2CF9AE}" pid="3" name="NS3451">
    <vt:lpwstr/>
  </property>
  <property fmtid="{D5CDD505-2E9C-101B-9397-08002B2CF9AE}" pid="4" name="e1de80c4eb934287ac3e2f49ade17d8f">
    <vt:lpwstr/>
  </property>
  <property fmtid="{D5CDD505-2E9C-101B-9397-08002B2CF9AE}" pid="5" name="MediaServiceImageTags">
    <vt:lpwstr/>
  </property>
  <property fmtid="{D5CDD505-2E9C-101B-9397-08002B2CF9AE}" pid="6" name="m805d2c6dcc34b82ae93f1ce63476d5c">
    <vt:lpwstr/>
  </property>
  <property fmtid="{D5CDD505-2E9C-101B-9397-08002B2CF9AE}" pid="7" name="ContentTypeId">
    <vt:lpwstr>0x010100E04CF3E58B532A40B457D8441EE99344</vt:lpwstr>
  </property>
  <property fmtid="{D5CDD505-2E9C-101B-9397-08002B2CF9AE}" pid="8" name="Dokumenttype">
    <vt:lpwstr/>
  </property>
  <property fmtid="{D5CDD505-2E9C-101B-9397-08002B2CF9AE}" pid="9" name="_x004e_S3451">
    <vt:lpwstr/>
  </property>
  <property fmtid="{D5CDD505-2E9C-101B-9397-08002B2CF9AE}" pid="10" name="dd0905083dba4921806934485c737a23">
    <vt:lpwstr/>
  </property>
  <property fmtid="{D5CDD505-2E9C-101B-9397-08002B2CF9AE}" pid="11" name="MSIP_Label_43f08ec5-d6d9-4227-8387-ccbfcb3632c4_Enabled">
    <vt:lpwstr>true</vt:lpwstr>
  </property>
  <property fmtid="{D5CDD505-2E9C-101B-9397-08002B2CF9AE}" pid="12" name="MSIP_Label_43f08ec5-d6d9-4227-8387-ccbfcb3632c4_SetDate">
    <vt:lpwstr>2024-04-12T08:39:27Z</vt:lpwstr>
  </property>
  <property fmtid="{D5CDD505-2E9C-101B-9397-08002B2CF9AE}" pid="13" name="MSIP_Label_43f08ec5-d6d9-4227-8387-ccbfcb3632c4_Method">
    <vt:lpwstr>Standard</vt:lpwstr>
  </property>
  <property fmtid="{D5CDD505-2E9C-101B-9397-08002B2CF9AE}" pid="14" name="MSIP_Label_43f08ec5-d6d9-4227-8387-ccbfcb3632c4_Name">
    <vt:lpwstr>Sweco Restricted</vt:lpwstr>
  </property>
  <property fmtid="{D5CDD505-2E9C-101B-9397-08002B2CF9AE}" pid="15" name="MSIP_Label_43f08ec5-d6d9-4227-8387-ccbfcb3632c4_SiteId">
    <vt:lpwstr>b7872ef0-9a00-4c18-8a4a-c7d25c778a9e</vt:lpwstr>
  </property>
  <property fmtid="{D5CDD505-2E9C-101B-9397-08002B2CF9AE}" pid="16" name="MSIP_Label_43f08ec5-d6d9-4227-8387-ccbfcb3632c4_ActionId">
    <vt:lpwstr>4c047105-7a07-4333-b355-9198d1d87e59</vt:lpwstr>
  </property>
  <property fmtid="{D5CDD505-2E9C-101B-9397-08002B2CF9AE}" pid="17" name="MSIP_Label_43f08ec5-d6d9-4227-8387-ccbfcb3632c4_ContentBits">
    <vt:lpwstr>0</vt:lpwstr>
  </property>
</Properties>
</file>